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namedSheetViews/namedSheetView2.xml" ContentType="application/vnd.ms-excel.namedsheetviews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https://wgcp.sharepoint.com/sites/NUVU-Intranet/Shared Documents/"/>
    </mc:Choice>
  </mc:AlternateContent>
  <xr:revisionPtr revIDLastSave="0" documentId="8_{850D9A14-3E97-47F0-B619-6CAEB6522AE9}" xr6:coauthVersionLast="47" xr6:coauthVersionMax="47" xr10:uidLastSave="{00000000-0000-0000-0000-000000000000}"/>
  <bookViews>
    <workbookView xWindow="-96" yWindow="6840" windowWidth="11712" windowHeight="6936" xr2:uid="{00000000-000D-0000-FFFF-FFFF00000000}"/>
  </bookViews>
  <sheets>
    <sheet name="project" sheetId="1" r:id="rId1"/>
    <sheet name="clientes" sheetId="4" r:id="rId2"/>
    <sheet name="Cod.Inactivos" sheetId="10" r:id="rId3"/>
    <sheet name="Codig BLD int" sheetId="9" state="hidden" r:id="rId4"/>
    <sheet name="Parameter" sheetId="8" state="hidden" r:id="rId5"/>
    <sheet name="Sheet2" sheetId="13" state="hidden" r:id="rId6"/>
    <sheet name="Prueba" sheetId="15" state="hidden" r:id="rId7"/>
    <sheet name="PRY&amp;PM" sheetId="16" r:id="rId8"/>
    <sheet name="Reportes" sheetId="14" r:id="rId9"/>
  </sheets>
  <definedNames>
    <definedName name="_xlnm._FilterDatabase" localSheetId="1" hidden="1">clientes!$A$1:$C$77</definedName>
    <definedName name="_xlnm._FilterDatabase" localSheetId="2" hidden="1">'Cod.Inactivos'!$A$1:$D$223</definedName>
    <definedName name="_xlnm._FilterDatabase" localSheetId="3" hidden="1">'Codig BLD int'!$A$1:$V$45</definedName>
    <definedName name="_xlnm._FilterDatabase" localSheetId="0" hidden="1">project!$A$1:$S$284</definedName>
    <definedName name="_xlnm._FilterDatabase" localSheetId="6" hidden="1">Prueba!$A$1:$S$281</definedName>
    <definedName name="Z_0522A299_0340_41A3_9D53_6211AE6368DD_.wvu.FilterData" localSheetId="0" hidden="1">project!$B$1:$M$14</definedName>
    <definedName name="Z_0522A299_0340_41A3_9D53_6211AE6368DD_.wvu.FilterData" localSheetId="6" hidden="1">Prueba!$B$1:$M$15</definedName>
    <definedName name="Z_0ADB96AF_DF7A_4D3E_A1AC_4F7A5800CA8A_.wvu.FilterData" localSheetId="0" hidden="1">project!$B$1:$M$22</definedName>
    <definedName name="Z_0ADB96AF_DF7A_4D3E_A1AC_4F7A5800CA8A_.wvu.FilterData" localSheetId="6" hidden="1">Prueba!$B$1:$M$23</definedName>
    <definedName name="Z_3464DDFB_821E_45DE_AB56_D2D76A09FA3C_.wvu.FilterData" localSheetId="0" hidden="1">project!$B$1:$N$113</definedName>
    <definedName name="Z_3464DDFB_821E_45DE_AB56_D2D76A09FA3C_.wvu.FilterData" localSheetId="6" hidden="1">Prueba!$B$1:$N$114</definedName>
    <definedName name="Z_3C08EC19_BBBB_4F9C_8BC7_2E8F20C6F4CF_.wvu.FilterData" localSheetId="0" hidden="1">project!$B$1:$M$14</definedName>
    <definedName name="Z_3C08EC19_BBBB_4F9C_8BC7_2E8F20C6F4CF_.wvu.FilterData" localSheetId="6" hidden="1">Prueba!$B$1:$M$15</definedName>
    <definedName name="Z_5EEFE65C_87B5_40E0_ABA5_7E8C4B686897_.wvu.FilterData" localSheetId="0" hidden="1">project!$B$1:$M$22</definedName>
    <definedName name="Z_5EEFE65C_87B5_40E0_ABA5_7E8C4B686897_.wvu.FilterData" localSheetId="6" hidden="1">Prueba!$B$1:$M$23</definedName>
    <definedName name="Z_78A96660_9D46_4E54_A7E2_56F777579B7C_.wvu.FilterData" localSheetId="0" hidden="1">project!$B$1:$N$101</definedName>
    <definedName name="Z_78A96660_9D46_4E54_A7E2_56F777579B7C_.wvu.FilterData" localSheetId="6" hidden="1">Prueba!$B$1:$N$102</definedName>
    <definedName name="Z_98E056CF_2279_47CD_8BC2_487D612A886A_.wvu.FilterData" localSheetId="0" hidden="1">project!$B$1:$M$101</definedName>
    <definedName name="Z_98E056CF_2279_47CD_8BC2_487D612A886A_.wvu.FilterData" localSheetId="6" hidden="1">Prueba!$B$1:$M$102</definedName>
    <definedName name="Z_A47F9681_CF07_486E_84E4_360578FEE645_.wvu.FilterData" localSheetId="0" hidden="1">project!$B$1:$M$111</definedName>
    <definedName name="Z_A47F9681_CF07_486E_84E4_360578FEE645_.wvu.FilterData" localSheetId="6" hidden="1">Prueba!$B$1:$M$112</definedName>
    <definedName name="Z_A7FF9354_BEDB_43BC_B746_ED060F2D2A1C_.wvu.FilterData" localSheetId="0" hidden="1">project!$B$1:$M$71</definedName>
    <definedName name="Z_A7FF9354_BEDB_43BC_B746_ED060F2D2A1C_.wvu.FilterData" localSheetId="6" hidden="1">Prueba!$B$1:$M$72</definedName>
    <definedName name="Z_C2A40437_BAE0_4F26_ACAF_6F0017D04B0D_.wvu.FilterData" localSheetId="0" hidden="1">project!$B$1:$M$14</definedName>
    <definedName name="Z_C2A40437_BAE0_4F26_ACAF_6F0017D04B0D_.wvu.FilterData" localSheetId="6" hidden="1">Prueba!$B$1:$M$15</definedName>
    <definedName name="Z_C9A6BF18_06DA_4FBA_8727_0834C359986B_.wvu.FilterData" localSheetId="0" hidden="1">project!$B$1:$M$94</definedName>
    <definedName name="Z_C9A6BF18_06DA_4FBA_8727_0834C359986B_.wvu.FilterData" localSheetId="6" hidden="1">Prueba!$B$1:$M$95</definedName>
    <definedName name="Z_E7A9FB15_0138_4B7C_B5BD_30986F02B55D_.wvu.FilterData" localSheetId="0" hidden="1">project!$B$1:$N$118</definedName>
    <definedName name="Z_E7A9FB15_0138_4B7C_B5BD_30986F02B55D_.wvu.FilterData" localSheetId="6" hidden="1">Prueba!$B$1:$N$119</definedName>
    <definedName name="Z_EB4AC347_268F_40CF_A83C_DD9CDE6BEE8E_.wvu.FilterData" localSheetId="0" hidden="1">project!$B$1:$M$30</definedName>
    <definedName name="Z_EB4AC347_268F_40CF_A83C_DD9CDE6BEE8E_.wvu.FilterData" localSheetId="6" hidden="1">Prueba!$B$1:$M$31</definedName>
  </definedNames>
  <calcPr calcId="191028"/>
  <customWorkbookViews>
    <customWorkbookView name="Fernando.Ortega" guid="{C9A6BF18-06DA-4FBA-8727-0834C359986B}" maximized="1" windowWidth="0" windowHeight="0" activeSheetId="0"/>
    <customWorkbookView name="Proyectos Activos" guid="{C2A40437-BAE0-4F26-ACAF-6F0017D04B0D}" maximized="1" windowWidth="0" windowHeight="0" activeSheetId="0"/>
    <customWorkbookView name="Negocios Vigentes" guid="{0522A299-0340-41A3-9D53-6211AE6368DD}" maximized="1" windowWidth="0" windowHeight="0" activeSheetId="0"/>
    <customWorkbookView name="Mariale" guid="{A47F9681-CF07-486E-84E4-360578FEE645}" maximized="1" windowWidth="0" windowHeight="0" activeSheetId="0"/>
    <customWorkbookView name="yeison.martinez" guid="{E7A9FB15-0138-4B7C-B5BD-30986F02B55D}" maximized="1" windowWidth="0" windowHeight="0" activeSheetId="0"/>
    <customWorkbookView name="Jose.Florez" guid="{A7FF9354-BEDB-43BC-B746-ED060F2D2A1C}" maximized="1" windowWidth="0" windowHeight="0" activeSheetId="0"/>
    <customWorkbookView name="Carolina.Aleman" guid="{3464DDFB-821E-45DE-AB56-D2D76A09FA3C}" maximized="1" windowWidth="0" windowHeight="0" activeSheetId="0"/>
    <customWorkbookView name="lorena.vega" guid="{0ADB96AF-DF7A-4D3E-A1AC-4F7A5800CA8A}" maximized="1" windowWidth="0" windowHeight="0" activeSheetId="0"/>
    <customWorkbookView name="FILTRO POR PROYECTO" guid="{3C08EC19-BBBB-4F9C-8BC7-2E8F20C6F4CF}" maximized="1" windowWidth="0" windowHeight="0" activeSheetId="0"/>
    <customWorkbookView name="Inactivos" guid="{5EEFE65C-87B5-40E0-ABA5-7E8C4B686897}" maximized="1" windowWidth="0" windowHeight="0" activeSheetId="0"/>
    <customWorkbookView name="Activos" guid="{EB4AC347-268F-40CF-A83C-DD9CDE6BEE8E}" maximized="1" windowWidth="0" windowHeight="0" activeSheetId="0"/>
    <customWorkbookView name="PMO_jose.florez" guid="{98E056CF-2279-47CD-8BC2-487D612A886A}" maximized="1" windowWidth="0" windowHeight="0" activeSheetId="0"/>
    <customWorkbookView name="alexandra.rusu" guid="{78A96660-9D46-4E54-A7E2-56F777579B7C}" maximized="1" windowWidth="0" windowHeight="0" activeSheetId="0"/>
  </customWorkbookViews>
  <pivotCaches>
    <pivotCache cacheId="1168" r:id="rId10"/>
    <pivotCache cacheId="1169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4" i="1" l="1"/>
  <c r="H283" i="1"/>
  <c r="H282" i="1"/>
  <c r="H252" i="1"/>
  <c r="H251" i="1"/>
  <c r="H250" i="1"/>
  <c r="H249" i="1"/>
  <c r="H74" i="1"/>
  <c r="H73" i="1"/>
  <c r="C280" i="1"/>
  <c r="H280" i="1"/>
  <c r="C6" i="15"/>
  <c r="H281" i="15"/>
  <c r="C281" i="15"/>
  <c r="H280" i="15"/>
  <c r="C280" i="15"/>
  <c r="H279" i="15"/>
  <c r="C279" i="15"/>
  <c r="H278" i="15"/>
  <c r="C278" i="15"/>
  <c r="H277" i="15"/>
  <c r="C277" i="15"/>
  <c r="H276" i="15"/>
  <c r="C276" i="15"/>
  <c r="H275" i="15"/>
  <c r="C275" i="15"/>
  <c r="H274" i="15"/>
  <c r="C274" i="15"/>
  <c r="H273" i="15"/>
  <c r="C273" i="15"/>
  <c r="H272" i="15"/>
  <c r="C272" i="15"/>
  <c r="H266" i="15"/>
  <c r="H242" i="15"/>
  <c r="H241" i="15"/>
  <c r="H240" i="15"/>
  <c r="H239" i="15"/>
  <c r="H238" i="15"/>
  <c r="H226" i="15"/>
  <c r="H225" i="15"/>
  <c r="H224" i="15"/>
  <c r="C219" i="15"/>
  <c r="H206" i="15"/>
  <c r="C206" i="15"/>
  <c r="H205" i="15"/>
  <c r="C205" i="15"/>
  <c r="H204" i="15"/>
  <c r="C204" i="15"/>
  <c r="H203" i="15"/>
  <c r="C203" i="15"/>
  <c r="H202" i="15"/>
  <c r="H201" i="15"/>
  <c r="H200" i="15"/>
  <c r="H199" i="15"/>
  <c r="H198" i="15"/>
  <c r="H197" i="15"/>
  <c r="H196" i="15"/>
  <c r="H195" i="15"/>
  <c r="H194" i="15"/>
  <c r="H193" i="15"/>
  <c r="H192" i="15"/>
  <c r="H191" i="15"/>
  <c r="H190" i="15"/>
  <c r="H189" i="15"/>
  <c r="H188" i="15"/>
  <c r="H187" i="15"/>
  <c r="H186" i="15"/>
  <c r="H185" i="15"/>
  <c r="H184" i="15"/>
  <c r="H183" i="15"/>
  <c r="H182" i="15"/>
  <c r="H181" i="15"/>
  <c r="C181" i="15"/>
  <c r="H180" i="15"/>
  <c r="C180" i="15"/>
  <c r="H179" i="15"/>
  <c r="C179" i="15"/>
  <c r="H178" i="15"/>
  <c r="C178" i="15"/>
  <c r="H177" i="15"/>
  <c r="C177" i="15"/>
  <c r="H176" i="15"/>
  <c r="C176" i="15"/>
  <c r="H175" i="15"/>
  <c r="C175" i="15"/>
  <c r="H174" i="15"/>
  <c r="C174" i="15"/>
  <c r="H173" i="15"/>
  <c r="C173" i="15"/>
  <c r="H172" i="15"/>
  <c r="C172" i="15"/>
  <c r="H171" i="15"/>
  <c r="H170" i="15"/>
  <c r="H167" i="15"/>
  <c r="C167" i="15"/>
  <c r="H166" i="15"/>
  <c r="C166" i="15"/>
  <c r="H165" i="15"/>
  <c r="C165" i="15"/>
  <c r="H164" i="15"/>
  <c r="H163" i="15"/>
  <c r="C163" i="15"/>
  <c r="H162" i="15"/>
  <c r="H161" i="15"/>
  <c r="H160" i="15"/>
  <c r="C160" i="15"/>
  <c r="H159" i="15"/>
  <c r="C159" i="15"/>
  <c r="H158" i="15"/>
  <c r="C158" i="15"/>
  <c r="C157" i="15"/>
  <c r="C156" i="15"/>
  <c r="H155" i="15"/>
  <c r="C155" i="15"/>
  <c r="H154" i="15"/>
  <c r="C154" i="15"/>
  <c r="H153" i="15"/>
  <c r="H152" i="15"/>
  <c r="C152" i="15"/>
  <c r="H151" i="15"/>
  <c r="C151" i="15"/>
  <c r="H150" i="15"/>
  <c r="C150" i="15"/>
  <c r="H149" i="15"/>
  <c r="C149" i="15"/>
  <c r="H148" i="15"/>
  <c r="C148" i="15"/>
  <c r="H147" i="15"/>
  <c r="C147" i="15"/>
  <c r="H146" i="15"/>
  <c r="C146" i="15"/>
  <c r="H145" i="15"/>
  <c r="C145" i="15"/>
  <c r="H144" i="15"/>
  <c r="C144" i="15"/>
  <c r="H143" i="15"/>
  <c r="C143" i="15"/>
  <c r="H142" i="15"/>
  <c r="C142" i="15"/>
  <c r="H141" i="15"/>
  <c r="C141" i="15"/>
  <c r="H140" i="15"/>
  <c r="C140" i="15"/>
  <c r="H139" i="15"/>
  <c r="C139" i="15"/>
  <c r="H138" i="15"/>
  <c r="C138" i="15"/>
  <c r="H137" i="15"/>
  <c r="C137" i="15"/>
  <c r="H136" i="15"/>
  <c r="C136" i="15"/>
  <c r="H135" i="15"/>
  <c r="C135" i="15"/>
  <c r="H134" i="15"/>
  <c r="C134" i="15"/>
  <c r="H133" i="15"/>
  <c r="C133" i="15"/>
  <c r="H132" i="15"/>
  <c r="C132" i="15"/>
  <c r="H131" i="15"/>
  <c r="C131" i="15"/>
  <c r="H130" i="15"/>
  <c r="C130" i="15"/>
  <c r="H129" i="15"/>
  <c r="C129" i="15"/>
  <c r="H128" i="15"/>
  <c r="C128" i="15"/>
  <c r="H127" i="15"/>
  <c r="C127" i="15"/>
  <c r="H126" i="15"/>
  <c r="C126" i="15"/>
  <c r="H125" i="15"/>
  <c r="C125" i="15"/>
  <c r="H124" i="15"/>
  <c r="C124" i="15"/>
  <c r="H123" i="15"/>
  <c r="C123" i="15"/>
  <c r="H122" i="15"/>
  <c r="C122" i="15"/>
  <c r="H121" i="15"/>
  <c r="C121" i="15"/>
  <c r="H120" i="15"/>
  <c r="C120" i="15"/>
  <c r="H119" i="15"/>
  <c r="C119" i="15"/>
  <c r="H118" i="15"/>
  <c r="C118" i="15"/>
  <c r="H117" i="15"/>
  <c r="C117" i="15"/>
  <c r="H116" i="15"/>
  <c r="C116" i="15"/>
  <c r="H115" i="15"/>
  <c r="C115" i="15"/>
  <c r="H114" i="15"/>
  <c r="C114" i="15"/>
  <c r="H113" i="15"/>
  <c r="C113" i="15"/>
  <c r="H112" i="15"/>
  <c r="C112" i="15"/>
  <c r="H111" i="15"/>
  <c r="C111" i="15"/>
  <c r="H110" i="15"/>
  <c r="C110" i="15"/>
  <c r="H109" i="15"/>
  <c r="C109" i="15"/>
  <c r="H108" i="15"/>
  <c r="C108" i="15"/>
  <c r="H107" i="15"/>
  <c r="C107" i="15"/>
  <c r="H106" i="15"/>
  <c r="C106" i="15"/>
  <c r="H105" i="15"/>
  <c r="C105" i="15"/>
  <c r="H104" i="15"/>
  <c r="C104" i="15"/>
  <c r="H103" i="15"/>
  <c r="C103" i="15"/>
  <c r="H102" i="15"/>
  <c r="C102" i="15"/>
  <c r="H101" i="15"/>
  <c r="C101" i="15"/>
  <c r="H100" i="15"/>
  <c r="C100" i="15"/>
  <c r="H99" i="15"/>
  <c r="C99" i="15"/>
  <c r="H98" i="15"/>
  <c r="C98" i="15"/>
  <c r="H97" i="15"/>
  <c r="C97" i="15"/>
  <c r="H96" i="15"/>
  <c r="C96" i="15"/>
  <c r="H95" i="15"/>
  <c r="C95" i="15"/>
  <c r="H94" i="15"/>
  <c r="C94" i="15"/>
  <c r="H93" i="15"/>
  <c r="C93" i="15"/>
  <c r="H92" i="15"/>
  <c r="C92" i="15"/>
  <c r="H91" i="15"/>
  <c r="C91" i="15"/>
  <c r="H90" i="15"/>
  <c r="C90" i="15"/>
  <c r="H89" i="15"/>
  <c r="C89" i="15"/>
  <c r="H88" i="15"/>
  <c r="C88" i="15"/>
  <c r="H87" i="15"/>
  <c r="C87" i="15"/>
  <c r="H86" i="15"/>
  <c r="C86" i="15"/>
  <c r="H85" i="15"/>
  <c r="C85" i="15"/>
  <c r="H84" i="15"/>
  <c r="C84" i="15"/>
  <c r="H83" i="15"/>
  <c r="C83" i="15"/>
  <c r="H82" i="15"/>
  <c r="C82" i="15"/>
  <c r="H81" i="15"/>
  <c r="C81" i="15"/>
  <c r="H80" i="15"/>
  <c r="C80" i="15"/>
  <c r="H79" i="15"/>
  <c r="C79" i="15"/>
  <c r="H78" i="15"/>
  <c r="C78" i="15"/>
  <c r="H77" i="15"/>
  <c r="C77" i="15"/>
  <c r="H76" i="15"/>
  <c r="C76" i="15"/>
  <c r="C75" i="15"/>
  <c r="C74" i="15"/>
  <c r="H73" i="15"/>
  <c r="C73" i="15"/>
  <c r="H72" i="15"/>
  <c r="C72" i="15"/>
  <c r="H71" i="15"/>
  <c r="C71" i="15"/>
  <c r="H70" i="15"/>
  <c r="C70" i="15"/>
  <c r="H69" i="15"/>
  <c r="C69" i="15"/>
  <c r="H68" i="15"/>
  <c r="C68" i="15"/>
  <c r="H67" i="15"/>
  <c r="C67" i="15"/>
  <c r="H66" i="15"/>
  <c r="C66" i="15"/>
  <c r="H65" i="15"/>
  <c r="C65" i="15"/>
  <c r="H64" i="15"/>
  <c r="C64" i="15"/>
  <c r="H63" i="15"/>
  <c r="C63" i="15"/>
  <c r="H62" i="15"/>
  <c r="C62" i="15"/>
  <c r="H61" i="15"/>
  <c r="C61" i="15"/>
  <c r="H60" i="15"/>
  <c r="C60" i="15"/>
  <c r="H59" i="15"/>
  <c r="C59" i="15"/>
  <c r="H58" i="15"/>
  <c r="C58" i="15"/>
  <c r="H57" i="15"/>
  <c r="C57" i="15"/>
  <c r="H56" i="15"/>
  <c r="C56" i="15"/>
  <c r="H55" i="15"/>
  <c r="C55" i="15"/>
  <c r="H54" i="15"/>
  <c r="C54" i="15"/>
  <c r="H53" i="15"/>
  <c r="C53" i="15"/>
  <c r="H52" i="15"/>
  <c r="C52" i="15"/>
  <c r="H51" i="15"/>
  <c r="C51" i="15"/>
  <c r="H50" i="15"/>
  <c r="C50" i="15"/>
  <c r="H49" i="15"/>
  <c r="C49" i="15"/>
  <c r="H48" i="15"/>
  <c r="C48" i="15"/>
  <c r="H47" i="15"/>
  <c r="C47" i="15"/>
  <c r="H46" i="15"/>
  <c r="C46" i="15"/>
  <c r="H45" i="15"/>
  <c r="C45" i="15"/>
  <c r="H44" i="15"/>
  <c r="C44" i="15"/>
  <c r="H43" i="15"/>
  <c r="C43" i="15"/>
  <c r="H42" i="15"/>
  <c r="C42" i="15"/>
  <c r="H41" i="15"/>
  <c r="C41" i="15"/>
  <c r="H40" i="15"/>
  <c r="C40" i="15"/>
  <c r="H39" i="15"/>
  <c r="C39" i="15"/>
  <c r="H38" i="15"/>
  <c r="C38" i="15"/>
  <c r="H37" i="15"/>
  <c r="C37" i="15"/>
  <c r="H36" i="15"/>
  <c r="C36" i="15"/>
  <c r="H35" i="15"/>
  <c r="C35" i="15"/>
  <c r="H34" i="15"/>
  <c r="H33" i="15"/>
  <c r="C33" i="15"/>
  <c r="H32" i="15"/>
  <c r="C32" i="15"/>
  <c r="H31" i="15"/>
  <c r="C31" i="15"/>
  <c r="H30" i="15"/>
  <c r="C30" i="15"/>
  <c r="H29" i="15"/>
  <c r="C29" i="15"/>
  <c r="H28" i="15"/>
  <c r="C28" i="15"/>
  <c r="H27" i="15"/>
  <c r="C27" i="15"/>
  <c r="H26" i="15"/>
  <c r="C26" i="15"/>
  <c r="H25" i="15"/>
  <c r="C25" i="15"/>
  <c r="H24" i="15"/>
  <c r="C24" i="15"/>
  <c r="H23" i="15"/>
  <c r="C23" i="15"/>
  <c r="H22" i="15"/>
  <c r="C22" i="15"/>
  <c r="H21" i="15"/>
  <c r="C21" i="15"/>
  <c r="H20" i="15"/>
  <c r="C20" i="15"/>
  <c r="H19" i="15"/>
  <c r="C19" i="15"/>
  <c r="H18" i="15"/>
  <c r="C18" i="15"/>
  <c r="H17" i="15"/>
  <c r="C17" i="15"/>
  <c r="H16" i="15"/>
  <c r="C16" i="15"/>
  <c r="H15" i="15"/>
  <c r="C15" i="15"/>
  <c r="H14" i="15"/>
  <c r="C14" i="15"/>
  <c r="H13" i="15"/>
  <c r="C13" i="15"/>
  <c r="H12" i="15"/>
  <c r="C12" i="15"/>
  <c r="H11" i="15"/>
  <c r="C11" i="15"/>
  <c r="H10" i="15"/>
  <c r="C10" i="15"/>
  <c r="H9" i="15"/>
  <c r="C9" i="15"/>
  <c r="H8" i="15"/>
  <c r="C8" i="15"/>
  <c r="H7" i="15"/>
  <c r="C7" i="15"/>
  <c r="H5" i="15"/>
  <c r="C5" i="15"/>
  <c r="H4" i="15"/>
  <c r="C4" i="15"/>
  <c r="H3" i="15"/>
  <c r="C3" i="15"/>
  <c r="H2" i="15"/>
  <c r="C65" i="1"/>
  <c r="H184" i="1"/>
  <c r="H182" i="1"/>
  <c r="H187" i="1"/>
  <c r="H188" i="1"/>
  <c r="H186" i="1"/>
  <c r="H95" i="1"/>
  <c r="C95" i="1"/>
  <c r="C113" i="1"/>
  <c r="C112" i="1"/>
  <c r="H113" i="1"/>
  <c r="H112" i="1"/>
  <c r="H111" i="1"/>
  <c r="C111" i="1"/>
  <c r="C80" i="1"/>
  <c r="H80" i="1"/>
  <c r="H264" i="1"/>
  <c r="H33" i="1"/>
  <c r="C13" i="1"/>
  <c r="C8" i="1"/>
  <c r="C47" i="1"/>
  <c r="C68" i="1"/>
  <c r="H237" i="1"/>
  <c r="H238" i="1"/>
  <c r="H239" i="1"/>
  <c r="H240" i="1"/>
  <c r="H236" i="1"/>
  <c r="C23" i="1"/>
  <c r="H115" i="1"/>
  <c r="C115" i="1"/>
  <c r="H116" i="1"/>
  <c r="C116" i="1"/>
  <c r="C119" i="1"/>
  <c r="H119" i="1"/>
  <c r="C88" i="1"/>
  <c r="C143" i="1"/>
  <c r="C99" i="1"/>
  <c r="H224" i="1"/>
  <c r="H222" i="1"/>
  <c r="H223" i="1"/>
  <c r="C75" i="1"/>
  <c r="C78" i="1"/>
  <c r="C79" i="1"/>
  <c r="C93" i="1"/>
  <c r="C29" i="1"/>
  <c r="H134" i="1"/>
  <c r="C217" i="1"/>
  <c r="C177" i="1"/>
  <c r="C203" i="1"/>
  <c r="H183" i="1"/>
  <c r="C201" i="1"/>
  <c r="H72" i="1"/>
  <c r="C155" i="1"/>
  <c r="H32" i="1"/>
  <c r="C32" i="1"/>
  <c r="C31" i="1"/>
  <c r="H204" i="1"/>
  <c r="C204" i="1"/>
  <c r="H203" i="1"/>
  <c r="H202" i="1"/>
  <c r="C202" i="1"/>
  <c r="H201" i="1"/>
  <c r="C15" i="1"/>
  <c r="C123" i="1"/>
  <c r="H99" i="1"/>
  <c r="H4" i="1"/>
  <c r="C3" i="1"/>
  <c r="C164" i="1"/>
  <c r="C52" i="1"/>
  <c r="H195" i="1"/>
  <c r="H194" i="1"/>
  <c r="H193" i="1"/>
  <c r="C70" i="1"/>
  <c r="H196" i="1"/>
  <c r="H197" i="1"/>
  <c r="H198" i="1"/>
  <c r="H199" i="1"/>
  <c r="H200" i="1"/>
  <c r="H192" i="1"/>
  <c r="H190" i="1"/>
  <c r="H191" i="1"/>
  <c r="H189" i="1"/>
  <c r="H180" i="1"/>
  <c r="H185" i="1"/>
  <c r="H181" i="1"/>
  <c r="C144" i="1"/>
  <c r="C178" i="1"/>
  <c r="C179" i="1"/>
  <c r="H178" i="1"/>
  <c r="H179" i="1"/>
  <c r="C174" i="1"/>
  <c r="C175" i="1"/>
  <c r="C176" i="1"/>
  <c r="H174" i="1"/>
  <c r="H175" i="1"/>
  <c r="H176" i="1"/>
  <c r="H177" i="1"/>
  <c r="H171" i="1"/>
  <c r="C171" i="1"/>
  <c r="H172" i="1"/>
  <c r="C172" i="1"/>
  <c r="H173" i="1"/>
  <c r="C173" i="1"/>
  <c r="H2" i="1"/>
  <c r="H164" i="1"/>
  <c r="H3" i="1"/>
  <c r="H7" i="1"/>
  <c r="H8" i="1"/>
  <c r="H9" i="1"/>
  <c r="H10" i="1"/>
  <c r="H11" i="1"/>
  <c r="H12" i="1"/>
  <c r="H13" i="1"/>
  <c r="H14" i="1"/>
  <c r="H15" i="1"/>
  <c r="H16" i="1"/>
  <c r="H17" i="1"/>
  <c r="H81" i="1"/>
  <c r="H84" i="1"/>
  <c r="H85" i="1"/>
  <c r="H86" i="1"/>
  <c r="H22" i="1"/>
  <c r="H23" i="1"/>
  <c r="H5" i="1"/>
  <c r="H25" i="1"/>
  <c r="H26" i="1"/>
  <c r="H27" i="1"/>
  <c r="H28" i="1"/>
  <c r="H63" i="1"/>
  <c r="H30" i="1"/>
  <c r="H64" i="1"/>
  <c r="H65" i="1"/>
  <c r="H19" i="1"/>
  <c r="H24" i="1"/>
  <c r="H35" i="1"/>
  <c r="H36" i="1"/>
  <c r="H37" i="1"/>
  <c r="H66" i="1"/>
  <c r="H39" i="1"/>
  <c r="H40" i="1"/>
  <c r="H41" i="1"/>
  <c r="H42" i="1"/>
  <c r="H43" i="1"/>
  <c r="H44" i="1"/>
  <c r="H45" i="1"/>
  <c r="H46" i="1"/>
  <c r="H47" i="1"/>
  <c r="H20" i="1"/>
  <c r="H21" i="1"/>
  <c r="H68" i="1"/>
  <c r="H69" i="1"/>
  <c r="H70" i="1"/>
  <c r="H71" i="1"/>
  <c r="H52" i="1"/>
  <c r="H53" i="1"/>
  <c r="H54" i="1"/>
  <c r="H55" i="1"/>
  <c r="H56" i="1"/>
  <c r="H57" i="1"/>
  <c r="H58" i="1"/>
  <c r="H59" i="1"/>
  <c r="H60" i="1"/>
  <c r="H61" i="1"/>
  <c r="H62" i="1"/>
  <c r="H18" i="1"/>
  <c r="H67" i="1"/>
  <c r="H49" i="1"/>
  <c r="H34" i="1"/>
  <c r="H38" i="1"/>
  <c r="H75" i="1"/>
  <c r="H76" i="1"/>
  <c r="H77" i="1"/>
  <c r="H51" i="1"/>
  <c r="H48" i="1"/>
  <c r="H50" i="1"/>
  <c r="H78" i="1"/>
  <c r="H88" i="1"/>
  <c r="H29" i="1"/>
  <c r="H82" i="1"/>
  <c r="H83" i="1"/>
  <c r="H31" i="1"/>
  <c r="H91" i="1"/>
  <c r="H92" i="1"/>
  <c r="H93" i="1"/>
  <c r="H89" i="1"/>
  <c r="H90" i="1"/>
  <c r="H121" i="1"/>
  <c r="H122" i="1"/>
  <c r="H125" i="1"/>
  <c r="H126" i="1"/>
  <c r="H94" i="1"/>
  <c r="H96" i="1"/>
  <c r="H97" i="1"/>
  <c r="H98" i="1"/>
  <c r="H100" i="1"/>
  <c r="H101" i="1"/>
  <c r="H102" i="1"/>
  <c r="H87" i="1"/>
  <c r="H103" i="1"/>
  <c r="H104" i="1"/>
  <c r="H105" i="1"/>
  <c r="H106" i="1"/>
  <c r="H107" i="1"/>
  <c r="H108" i="1"/>
  <c r="H109" i="1"/>
  <c r="H127" i="1"/>
  <c r="H117" i="1"/>
  <c r="H118" i="1"/>
  <c r="H129" i="1"/>
  <c r="H130" i="1"/>
  <c r="H120" i="1"/>
  <c r="H110" i="1"/>
  <c r="H114" i="1"/>
  <c r="H128" i="1"/>
  <c r="H124" i="1"/>
  <c r="H131" i="1"/>
  <c r="H132" i="1"/>
  <c r="H133" i="1"/>
  <c r="H135" i="1"/>
  <c r="H136" i="1"/>
  <c r="H137" i="1"/>
  <c r="H138" i="1"/>
  <c r="H139" i="1"/>
  <c r="H140" i="1"/>
  <c r="H141" i="1"/>
  <c r="H142" i="1"/>
  <c r="H149" i="1"/>
  <c r="H150" i="1"/>
  <c r="H151" i="1"/>
  <c r="H153" i="1"/>
  <c r="H154" i="1"/>
  <c r="H143" i="1"/>
  <c r="H165" i="1"/>
  <c r="H144" i="1"/>
  <c r="H145" i="1"/>
  <c r="H146" i="1"/>
  <c r="H147" i="1"/>
  <c r="H148" i="1"/>
  <c r="H157" i="1"/>
  <c r="H158" i="1"/>
  <c r="H159" i="1"/>
  <c r="H162" i="1"/>
  <c r="H166" i="1"/>
  <c r="H270" i="1"/>
  <c r="H271" i="1"/>
  <c r="H272" i="1"/>
  <c r="H273" i="1"/>
  <c r="H274" i="1"/>
  <c r="H275" i="1"/>
  <c r="H276" i="1"/>
  <c r="H277" i="1"/>
  <c r="H278" i="1"/>
  <c r="H79" i="1"/>
  <c r="H279" i="1"/>
  <c r="H161" i="1"/>
  <c r="H160" i="1"/>
  <c r="H163" i="1"/>
  <c r="H170" i="1"/>
  <c r="H169" i="1"/>
  <c r="H152" i="1"/>
  <c r="H123" i="1"/>
  <c r="C133" i="1"/>
  <c r="C165" i="1"/>
  <c r="C5" i="1"/>
  <c r="C25" i="1"/>
  <c r="C26" i="1"/>
  <c r="C27" i="1"/>
  <c r="C28" i="1"/>
  <c r="C63" i="1"/>
  <c r="C145" i="1"/>
  <c r="C114" i="1"/>
  <c r="C71" i="1"/>
  <c r="C157" i="1"/>
  <c r="C158" i="1"/>
  <c r="C159" i="1"/>
  <c r="C162" i="1"/>
  <c r="C166" i="1"/>
  <c r="C96" i="1"/>
  <c r="C107" i="1"/>
  <c r="C69" i="1"/>
  <c r="C146" i="1"/>
  <c r="C147" i="1"/>
  <c r="C148" i="1"/>
  <c r="C156" i="1"/>
  <c r="C154" i="1"/>
  <c r="C153" i="1"/>
  <c r="C151" i="1"/>
  <c r="C150" i="1"/>
  <c r="C149" i="1"/>
  <c r="C142" i="1"/>
  <c r="C141" i="1"/>
  <c r="C140" i="1"/>
  <c r="C139" i="1"/>
  <c r="C138" i="1"/>
  <c r="C137" i="1"/>
  <c r="C136" i="1"/>
  <c r="C89" i="1"/>
  <c r="C43" i="1"/>
  <c r="C44" i="1"/>
  <c r="C135" i="1"/>
  <c r="C134" i="1"/>
  <c r="C124" i="1"/>
  <c r="C132" i="1"/>
  <c r="C131" i="1"/>
  <c r="C21" i="1"/>
  <c r="C270" i="1"/>
  <c r="C129" i="1"/>
  <c r="C127" i="1"/>
  <c r="C122" i="1"/>
  <c r="C121" i="1"/>
  <c r="C125" i="1"/>
  <c r="C101" i="1"/>
  <c r="C100" i="1"/>
  <c r="C108" i="1"/>
  <c r="C104" i="1"/>
  <c r="C103" i="1"/>
  <c r="C105" i="1"/>
  <c r="C92" i="1"/>
  <c r="C91" i="1"/>
  <c r="C45" i="1"/>
  <c r="C46" i="1"/>
  <c r="C85" i="1"/>
  <c r="C84" i="1"/>
  <c r="C81" i="1"/>
  <c r="C7" i="1"/>
  <c r="C76" i="1"/>
  <c r="C73" i="1"/>
  <c r="C72" i="1"/>
  <c r="C61" i="1"/>
  <c r="C9" i="1"/>
  <c r="C10" i="1"/>
  <c r="C53" i="1"/>
  <c r="C22" i="1"/>
  <c r="C34" i="1"/>
  <c r="C30" i="1"/>
  <c r="C64" i="1"/>
  <c r="C55" i="1"/>
  <c r="C35" i="1"/>
  <c r="C36" i="1"/>
  <c r="C59" i="1"/>
  <c r="C58" i="1"/>
  <c r="C40" i="1"/>
  <c r="C41" i="1"/>
  <c r="C20" i="1"/>
  <c r="C12" i="1"/>
  <c r="C130" i="1"/>
  <c r="C128" i="1"/>
  <c r="C126" i="1"/>
  <c r="C120" i="1"/>
  <c r="C118" i="1"/>
  <c r="C117" i="1"/>
  <c r="C90" i="1"/>
  <c r="C110" i="1"/>
  <c r="C102" i="1"/>
  <c r="C109" i="1"/>
  <c r="C106" i="1"/>
  <c r="C97" i="1"/>
  <c r="C94" i="1"/>
  <c r="C87" i="1"/>
  <c r="C279" i="1"/>
  <c r="C86" i="1"/>
  <c r="C16" i="1"/>
  <c r="C17" i="1"/>
  <c r="C77" i="1"/>
  <c r="C278" i="1"/>
  <c r="C74" i="1"/>
  <c r="C62" i="1"/>
  <c r="C277" i="1"/>
  <c r="C276" i="1"/>
  <c r="C275" i="1"/>
  <c r="C11" i="1"/>
  <c r="C67" i="1"/>
  <c r="C274" i="1"/>
  <c r="C66" i="1"/>
  <c r="C39" i="1"/>
  <c r="C54" i="1"/>
  <c r="C273" i="1"/>
  <c r="C4" i="1"/>
  <c r="C56" i="1"/>
  <c r="C37" i="1"/>
  <c r="C60" i="1"/>
  <c r="C51" i="1"/>
  <c r="C50" i="1"/>
  <c r="C49" i="1"/>
  <c r="C57" i="1"/>
  <c r="C48" i="1"/>
  <c r="C38" i="1"/>
  <c r="C83" i="1"/>
  <c r="C272" i="1"/>
  <c r="C42" i="1"/>
  <c r="C24" i="1"/>
  <c r="C98" i="1"/>
  <c r="C271" i="1"/>
  <c r="C14" i="1"/>
  <c r="C19" i="1"/>
  <c r="C82" i="1"/>
  <c r="C18" i="1"/>
  <c r="C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tc={D0895C1A-BEB3-4BF0-80FD-6771A93DBD64}</author>
    <author>tc={B2A46930-CDDB-463D-90E4-BC0B858980BE}</author>
    <author>tc={8CED6A70-9F84-4CFE-948C-1AEDA1CA2C41}</author>
    <author>tc={9CA40DC5-4044-419A-B214-C9640A82334A}</author>
    <author>tc={8DA8DF85-9583-4831-A3A0-315E3AA2CC8C}</author>
    <author>tc={65378851-8947-47E9-9DC1-1D683A60F409}</author>
    <author>tc={E38A1CAF-B00E-4CFA-9F68-C42373887BA7}</author>
    <author>tc={54DB1B8D-38BE-4B4E-B244-F6591A7197F5}</author>
    <author>tc={6B641091-B1D6-4B89-BB6E-3CD941CA285C}</author>
    <author>tc={FAA1F506-DB57-4CCE-ADD2-2417D31A5BA4}</author>
    <author>tc={43546351-F999-43F4-93B8-BBB2613965CC}</author>
    <author>tc={CB59665E-CBEE-4E0A-80E1-73B42278A9E2}</author>
    <author>tc={1A9DB778-A74E-4D95-BD77-DD1C0219DDD7}</author>
    <author>tc={12220A6F-31BA-4E63-B157-F2CF45337F83}</author>
    <author>tc={454ACAD7-12CD-40F6-B479-7924A6A3ED90}</author>
    <author>tc={371638AC-6DE7-4964-B9A9-99D290CFF2E0}</author>
  </authors>
  <commentList>
    <comment ref="Y66" authorId="0" shapeId="0" xr:uid="{D0895C1A-BEB3-4BF0-80FD-6771A93DBD6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hay PPT
</t>
      </text>
    </comment>
    <comment ref="Y87" authorId="1" shapeId="0" xr:uid="{B2A46930-CDDB-463D-90E4-BC0B858980B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hay PPT
</t>
      </text>
    </comment>
    <comment ref="R131" authorId="2" shapeId="0" xr:uid="{8CED6A70-9F84-4CFE-948C-1AEDA1CA2C41}">
      <text>
        <t>[Threaded comment]
Your version of Excel allows you to read this threaded comment; however, any edits to it will get removed if the file is opened in a newer version of Excel. Learn more: https://go.microsoft.com/fwlink/?linkid=870924
Comment:
    @Juan Fernando Garcia FYI, cargados manuales, no estaban relacionados</t>
      </text>
    </comment>
    <comment ref="W131" authorId="3" shapeId="0" xr:uid="{9CA40DC5-4044-419A-B214-C9640A82334A}">
      <text>
        <t>[Threaded comment]
Your version of Excel allows you to read this threaded comment; however, any edits to it will get removed if the file is opened in a newer version of Excel. Learn more: https://go.microsoft.com/fwlink/?linkid=870924
Comment:
    Carpeta sin documentos</t>
      </text>
    </comment>
    <comment ref="Y131" authorId="4" shapeId="0" xr:uid="{8DA8DF85-9583-4831-A3A0-315E3AA2CC8C}">
      <text>
        <t>[Threaded comment]
Your version of Excel allows you to read this threaded comment; however, any edits to it will get removed if the file is opened in a newer version of Excel. Learn more: https://go.microsoft.com/fwlink/?linkid=870924
Comment:
    Carpeta sin documentos</t>
      </text>
    </comment>
    <comment ref="Z131" authorId="5" shapeId="0" xr:uid="{65378851-8947-47E9-9DC1-1D683A60F40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Sin Actas
</t>
      </text>
    </comment>
    <comment ref="W132" authorId="6" shapeId="0" xr:uid="{E38A1CAF-B00E-4CFA-9F68-C42373887BA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Sin Actas
</t>
      </text>
    </comment>
    <comment ref="Y132" authorId="7" shapeId="0" xr:uid="{54DB1B8D-38BE-4B4E-B244-F6591A7197F5}">
      <text>
        <t>[Threaded comment]
Your version of Excel allows you to read this threaded comment; however, any edits to it will get removed if the file is opened in a newer version of Excel. Learn more: https://go.microsoft.com/fwlink/?linkid=870924
Comment:
    Carpeta sin documentos</t>
      </text>
    </comment>
    <comment ref="Z132" authorId="8" shapeId="0" xr:uid="{6B641091-B1D6-4B89-BB6E-3CD941CA285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Sin Actas
</t>
      </text>
    </comment>
    <comment ref="W133" authorId="9" shapeId="0" xr:uid="{FAA1F506-DB57-4CCE-ADD2-2417D31A5BA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Sin Actas
</t>
      </text>
    </comment>
    <comment ref="Y133" authorId="10" shapeId="0" xr:uid="{43546351-F999-43F4-93B8-BBB2613965CC}">
      <text>
        <t>[Threaded comment]
Your version of Excel allows you to read this threaded comment; however, any edits to it will get removed if the file is opened in a newer version of Excel. Learn more: https://go.microsoft.com/fwlink/?linkid=870924
Comment:
    Carpeta sin documentos</t>
      </text>
    </comment>
    <comment ref="Z133" authorId="11" shapeId="0" xr:uid="{CB59665E-CBEE-4E0A-80E1-73B42278A9E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Sin Actas
</t>
      </text>
    </comment>
    <comment ref="Z185" authorId="12" shapeId="0" xr:uid="{1A9DB778-A74E-4D95-BD77-DD1C0219DDD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Carpeta vacía
</t>
      </text>
    </comment>
    <comment ref="Z186" authorId="13" shapeId="0" xr:uid="{12220A6F-31BA-4E63-B157-F2CF45337F8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Carpeta vacía
</t>
      </text>
    </comment>
    <comment ref="Z187" authorId="14" shapeId="0" xr:uid="{454ACAD7-12CD-40F6-B479-7924A6A3ED9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Carpeta vacía
</t>
      </text>
    </comment>
    <comment ref="Z188" authorId="15" shapeId="0" xr:uid="{371638AC-6DE7-4964-B9A9-99D290CFF2E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Carpeta vacía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tc={824F9798-5DB7-4BAB-B648-76B782FF900F}</author>
  </authors>
  <commentList>
    <comment ref="R132" authorId="0" shapeId="0" xr:uid="{824F9798-5DB7-4BAB-B648-76B782FF900F}">
      <text>
        <t>[Threaded comment]
Your version of Excel allows you to read this threaded comment; however, any edits to it will get removed if the file is opened in a newer version of Excel. Learn more: https://go.microsoft.com/fwlink/?linkid=870924
Comment:
    @Juan Fernando Garcia FYI, cargados manuales, no estaban relacionados</t>
      </text>
    </comment>
  </commentList>
</comments>
</file>

<file path=xl/sharedStrings.xml><?xml version="1.0" encoding="utf-8"?>
<sst xmlns="http://schemas.openxmlformats.org/spreadsheetml/2006/main" count="11697" uniqueCount="1606">
  <si>
    <t>Project ID</t>
  </si>
  <si>
    <t>ID Old</t>
  </si>
  <si>
    <t>Project Name Full</t>
  </si>
  <si>
    <t>Objetivo</t>
  </si>
  <si>
    <t>Blend Project Type</t>
  </si>
  <si>
    <t>Sigla</t>
  </si>
  <si>
    <t>Type Project</t>
  </si>
  <si>
    <t>Client Name</t>
  </si>
  <si>
    <t>Status</t>
  </si>
  <si>
    <t>Folder Legal</t>
  </si>
  <si>
    <t>Foldel Project Admin</t>
  </si>
  <si>
    <t>Project Manager</t>
  </si>
  <si>
    <t>Account Manager</t>
  </si>
  <si>
    <t>Technical Leader</t>
  </si>
  <si>
    <t>Sr Tech</t>
  </si>
  <si>
    <t>Contract Type</t>
  </si>
  <si>
    <t>Support Engineer</t>
  </si>
  <si>
    <t>NetSuite</t>
  </si>
  <si>
    <t>Team</t>
  </si>
  <si>
    <t xml:space="preserve">Tipo de contrato </t>
  </si>
  <si>
    <t>Contrato</t>
  </si>
  <si>
    <t>CET</t>
  </si>
  <si>
    <t>Ficha tecnica</t>
  </si>
  <si>
    <t>Legal</t>
  </si>
  <si>
    <t>Kick off</t>
  </si>
  <si>
    <t>Comites de estión</t>
  </si>
  <si>
    <t>P0083</t>
  </si>
  <si>
    <t>P0105</t>
  </si>
  <si>
    <t>COE – Center of Excellence (Reuniones internas /  Entrega interna de proyectos dedicado)</t>
  </si>
  <si>
    <t>COE - Center of Excellence</t>
  </si>
  <si>
    <t>Internal</t>
  </si>
  <si>
    <t>BLD</t>
  </si>
  <si>
    <t>Interno</t>
  </si>
  <si>
    <t>Activo</t>
  </si>
  <si>
    <t>N.A.</t>
  </si>
  <si>
    <t>In Progress</t>
  </si>
  <si>
    <t>N. A.</t>
  </si>
  <si>
    <t>No Aplica</t>
  </si>
  <si>
    <t/>
  </si>
  <si>
    <t>P0089</t>
  </si>
  <si>
    <t>P0221</t>
  </si>
  <si>
    <t>Meetings &amp; Training</t>
  </si>
  <si>
    <t>P0094</t>
  </si>
  <si>
    <t>P0312</t>
  </si>
  <si>
    <t>Time Off &amp; Holiday</t>
  </si>
  <si>
    <t>P1920</t>
  </si>
  <si>
    <t>P0070</t>
  </si>
  <si>
    <t>SmartCash - Operación</t>
  </si>
  <si>
    <t>Ret SW</t>
  </si>
  <si>
    <t>BTG</t>
  </si>
  <si>
    <t>Software SW</t>
  </si>
  <si>
    <t>BTG Pactual S.A</t>
  </si>
  <si>
    <t>Cto Mantenimiento y soporte CP Suite</t>
  </si>
  <si>
    <t>Oscar Barragan</t>
  </si>
  <si>
    <t>Nicolas Avella</t>
  </si>
  <si>
    <t>Juan Zambrano</t>
  </si>
  <si>
    <t>Ariane Hernandez</t>
  </si>
  <si>
    <t>Miguel.Carrillo</t>
  </si>
  <si>
    <t>55132 - Ret SW
56836 - Ret</t>
  </si>
  <si>
    <t>P2012</t>
  </si>
  <si>
    <t>Ret</t>
  </si>
  <si>
    <t>Operación</t>
  </si>
  <si>
    <t>BTG Pactual</t>
  </si>
  <si>
    <t>BTG COLOMBIA 13.580</t>
  </si>
  <si>
    <t>Operations_Team_01</t>
  </si>
  <si>
    <t>P1903</t>
  </si>
  <si>
    <t>P0337</t>
  </si>
  <si>
    <t>Catastro Cali Piloto Dashboard</t>
  </si>
  <si>
    <t>Cloud</t>
  </si>
  <si>
    <t>ACA</t>
  </si>
  <si>
    <t>Data</t>
  </si>
  <si>
    <t>Inactivo</t>
  </si>
  <si>
    <t>Alcadia de Cali</t>
  </si>
  <si>
    <t>Kelly Carbonell</t>
  </si>
  <si>
    <t>Karen Arandia</t>
  </si>
  <si>
    <t>Carlos Sierra</t>
  </si>
  <si>
    <t>Simón Lopez</t>
  </si>
  <si>
    <t>Complete</t>
  </si>
  <si>
    <t>55115 - CLOUD
55116 - Fixed</t>
  </si>
  <si>
    <t>P1904</t>
  </si>
  <si>
    <t>Fixed</t>
  </si>
  <si>
    <t>Implementación</t>
  </si>
  <si>
    <t>P1905</t>
  </si>
  <si>
    <t>P0323</t>
  </si>
  <si>
    <t>Fase 1 Datacali</t>
  </si>
  <si>
    <t>Contrato No. 4134.010.26.1.0441-2024</t>
  </si>
  <si>
    <t>55117 - Fixed
55118 - Ret SW
55119 - CLOUD</t>
  </si>
  <si>
    <t>P1906</t>
  </si>
  <si>
    <t>P1907</t>
  </si>
  <si>
    <t>P1908</t>
  </si>
  <si>
    <t>P0255</t>
  </si>
  <si>
    <t>Datalake Grupo de Energía de Bogotá</t>
  </si>
  <si>
    <t>AGA</t>
  </si>
  <si>
    <t>Agata GEB- SDP</t>
  </si>
  <si>
    <t>Otrosi n° 3 Anexo 2</t>
  </si>
  <si>
    <t>Alejandra Gomez</t>
  </si>
  <si>
    <t>Jose Gallego</t>
  </si>
  <si>
    <t>55120 - CLOUD
55121 - Ret SW
55122 - Ret</t>
  </si>
  <si>
    <t>P1909</t>
  </si>
  <si>
    <t>P1910</t>
  </si>
  <si>
    <t>Anexo 2 GEB- SDP</t>
  </si>
  <si>
    <t>P1911</t>
  </si>
  <si>
    <t>P0321</t>
  </si>
  <si>
    <t>CP Suite ( Smartcash) Operación</t>
  </si>
  <si>
    <t>AGR</t>
  </si>
  <si>
    <t>Fiduagraria- CP Suite</t>
  </si>
  <si>
    <t>OTROSI 3 CTO 032-2021. HIGH TECH</t>
  </si>
  <si>
    <t>Angel Villasmil</t>
  </si>
  <si>
    <t>P1912</t>
  </si>
  <si>
    <t>P0339</t>
  </si>
  <si>
    <t xml:space="preserve">Quicksight Operación 2025  </t>
  </si>
  <si>
    <t xml:space="preserve">Fiduagraria - Quicksight </t>
  </si>
  <si>
    <t>OTROSI 3 CTO 037-2021. HIGH TECH.</t>
  </si>
  <si>
    <t>P1913</t>
  </si>
  <si>
    <t>P0338</t>
  </si>
  <si>
    <t>Snaptask Operación 2025</t>
  </si>
  <si>
    <t>Fiduagraria - Snaptask</t>
  </si>
  <si>
    <t>OTROSI 3 CTO 038-2021. HIGH TECH</t>
  </si>
  <si>
    <t>P1968</t>
  </si>
  <si>
    <t>P0168</t>
  </si>
  <si>
    <t>Operación Cloud</t>
  </si>
  <si>
    <t>UBO</t>
  </si>
  <si>
    <t>Universidad del Bosque</t>
  </si>
  <si>
    <t>Cto PS 250-2021</t>
  </si>
  <si>
    <t>David Cortes</t>
  </si>
  <si>
    <t>Samuel Escobar</t>
  </si>
  <si>
    <t>Contrato UBO</t>
  </si>
  <si>
    <t>Ficha Tecnica - P0168 UBO Operación Cloud</t>
  </si>
  <si>
    <t>P1932</t>
  </si>
  <si>
    <t>P0217</t>
  </si>
  <si>
    <t>Aprovisionamiento multinube - Lote 3</t>
  </si>
  <si>
    <t>DIA</t>
  </si>
  <si>
    <t>Dian</t>
  </si>
  <si>
    <t>Convenio Contractual 92872-031-2022</t>
  </si>
  <si>
    <t>Juan Bernal</t>
  </si>
  <si>
    <t>Ciliana Capera</t>
  </si>
  <si>
    <t>Nicolas Revollo</t>
  </si>
  <si>
    <t>Juan Sanchéz</t>
  </si>
  <si>
    <t>Cloud Operations</t>
  </si>
  <si>
    <t>P1947</t>
  </si>
  <si>
    <t>P0265</t>
  </si>
  <si>
    <t>Cloud Managed Services 2023-25</t>
  </si>
  <si>
    <t>JPM</t>
  </si>
  <si>
    <t>Justicia Penal Militar</t>
  </si>
  <si>
    <t>OC 119973</t>
  </si>
  <si>
    <t>Marcela Sanchéz</t>
  </si>
  <si>
    <t>55159 - Ret
55160 - CLOUD</t>
  </si>
  <si>
    <t>rfi_para_operacion_secundaria062022.docx</t>
  </si>
  <si>
    <t>Kickoff JPMP OC 119973.pdf</t>
  </si>
  <si>
    <t>P1948</t>
  </si>
  <si>
    <t>P1918</t>
  </si>
  <si>
    <t>P0302</t>
  </si>
  <si>
    <t>Migración y Diseño de Arquitectura AWS</t>
  </si>
  <si>
    <t>BID</t>
  </si>
  <si>
    <t>Banco Interamericano de Desarrollo</t>
  </si>
  <si>
    <t>PURCHASE ORDER NO. 7000019059</t>
  </si>
  <si>
    <t>Diana Castro</t>
  </si>
  <si>
    <t>Daniela Muñoz</t>
  </si>
  <si>
    <t>55130 - CLOUD
55131 - Ret</t>
  </si>
  <si>
    <t>P1919</t>
  </si>
  <si>
    <t>Whitman Rojas</t>
  </si>
  <si>
    <t>P1933</t>
  </si>
  <si>
    <t>P0280</t>
  </si>
  <si>
    <t>Back Ups</t>
  </si>
  <si>
    <t>Propuesta Backups</t>
  </si>
  <si>
    <t>P1921</t>
  </si>
  <si>
    <t>P0260</t>
  </si>
  <si>
    <t>Nube Pública para Datalake</t>
  </si>
  <si>
    <t>CAT</t>
  </si>
  <si>
    <t>Unidad Administrativa de Catastro</t>
  </si>
  <si>
    <t>OC 113430</t>
  </si>
  <si>
    <t>Marcelo Bonivento</t>
  </si>
  <si>
    <t>55133 - Ret
55134 - CLOUD</t>
  </si>
  <si>
    <t>P1922</t>
  </si>
  <si>
    <t>P1923</t>
  </si>
  <si>
    <t>P0281</t>
  </si>
  <si>
    <t>IaaS para DRP</t>
  </si>
  <si>
    <t>CCC</t>
  </si>
  <si>
    <t>Cámara de Comercio de Cali</t>
  </si>
  <si>
    <t>Contrato OSJ 2023-0374</t>
  </si>
  <si>
    <t>Angeline Lozada</t>
  </si>
  <si>
    <t>P1924</t>
  </si>
  <si>
    <t>P0272</t>
  </si>
  <si>
    <t>Migración AWS</t>
  </si>
  <si>
    <t>CSJ</t>
  </si>
  <si>
    <t>Consejo Superior de la Judicatura</t>
  </si>
  <si>
    <t>OC 122576</t>
  </si>
  <si>
    <t>Andres Barrantes</t>
  </si>
  <si>
    <t>55136 - Fixed
57148 - CLOUD</t>
  </si>
  <si>
    <t>P1991</t>
  </si>
  <si>
    <t>P0291</t>
  </si>
  <si>
    <t>Unisalud</t>
  </si>
  <si>
    <t>UNA</t>
  </si>
  <si>
    <t>Universidad Nacional</t>
  </si>
  <si>
    <t>NUVU - Proyectos - Documentos - 00. Administrativos - Todos los documentos</t>
  </si>
  <si>
    <t>P1929</t>
  </si>
  <si>
    <t>P0311</t>
  </si>
  <si>
    <t>Sistema integrado de Secretaría Técnica</t>
  </si>
  <si>
    <t>CJU</t>
  </si>
  <si>
    <t>Coljuegos S.A</t>
  </si>
  <si>
    <t>CTO 323 - 2024</t>
  </si>
  <si>
    <t>Moises Rojas</t>
  </si>
  <si>
    <t>Brandon Ardila</t>
  </si>
  <si>
    <t>55140 - Fixed
55141 - Ret
55142 - Ret SW
55143 - CLOUD</t>
  </si>
  <si>
    <t>https://wgcp.sharepoint.com/:b:/s/NUVU-Proyectos/IQABo-cM_kQ9VrOfm--k8tbVAaRLttd3dWlyy9s53napM7A?e=UbppNX</t>
  </si>
  <si>
    <t>https://wgcp.sharepoint.com/:b:/s/NUVU-Proyectos/IQCBVOXbBT2DQIT79UziKQrLAa_SPAsIloWi8TYgz14jHl0?e=IAnuue</t>
  </si>
  <si>
    <t>P1994</t>
  </si>
  <si>
    <t>P0294</t>
  </si>
  <si>
    <t>Regalías Sikie</t>
  </si>
  <si>
    <t>P2537</t>
  </si>
  <si>
    <t>Universida Nacional</t>
  </si>
  <si>
    <t>Christyan Gutiérrez</t>
  </si>
  <si>
    <t>UNA - Regalías Sikie - Ret</t>
  </si>
  <si>
    <t>Alejandra Gómez</t>
  </si>
  <si>
    <t>P1977</t>
  </si>
  <si>
    <t>P0298</t>
  </si>
  <si>
    <t>Fortinet</t>
  </si>
  <si>
    <t>55190 - Fixed
55191 - CLOUD</t>
  </si>
  <si>
    <t>P1934</t>
  </si>
  <si>
    <t>P0308</t>
  </si>
  <si>
    <t>Portal Colombia Aprende</t>
  </si>
  <si>
    <t>EAF</t>
  </si>
  <si>
    <t>Universidad EAFIT</t>
  </si>
  <si>
    <t>CONTRATO HIGH TECH SOFTWARE VF Final</t>
  </si>
  <si>
    <t>55146 - Fixed
55147 - Ret SW
55148 - CLOUD</t>
  </si>
  <si>
    <t>P1935</t>
  </si>
  <si>
    <t>P1936</t>
  </si>
  <si>
    <t>P1978</t>
  </si>
  <si>
    <t>P1938</t>
  </si>
  <si>
    <t>P0317</t>
  </si>
  <si>
    <t>Tableros BI</t>
  </si>
  <si>
    <t>FDN</t>
  </si>
  <si>
    <t>FND</t>
  </si>
  <si>
    <t>Contrato 71 de 2024</t>
  </si>
  <si>
    <t>Jaime Grisales</t>
  </si>
  <si>
    <t>P1939</t>
  </si>
  <si>
    <t>P0290</t>
  </si>
  <si>
    <t>Gestión Integral Mojana</t>
  </si>
  <si>
    <t>FOA</t>
  </si>
  <si>
    <t>Fondo Adaptación</t>
  </si>
  <si>
    <t>OC 126506</t>
  </si>
  <si>
    <t>Diego Saavedra</t>
  </si>
  <si>
    <t>55151 - Fixed
55152 - Ret SW
55153 - CLOUD</t>
  </si>
  <si>
    <t>P1940</t>
  </si>
  <si>
    <t>P1941</t>
  </si>
  <si>
    <t>P1942</t>
  </si>
  <si>
    <t>P0075</t>
  </si>
  <si>
    <t>GLO</t>
  </si>
  <si>
    <t>Global Securities S.A</t>
  </si>
  <si>
    <t>Cto CP Suite</t>
  </si>
  <si>
    <t>P1943</t>
  </si>
  <si>
    <t>P0346</t>
  </si>
  <si>
    <t>Evolución Datalake Fase1 2025</t>
  </si>
  <si>
    <t>ICF</t>
  </si>
  <si>
    <t>Icfes</t>
  </si>
  <si>
    <t>OC 142744</t>
  </si>
  <si>
    <t>Jairo Salas</t>
  </si>
  <si>
    <t>55155 - Fixed
55156 - Ret
55157 - CLOUD
55158 - Ret  SW</t>
  </si>
  <si>
    <t>P1944</t>
  </si>
  <si>
    <t>P1945</t>
  </si>
  <si>
    <t>P1946</t>
  </si>
  <si>
    <t>P1983</t>
  </si>
  <si>
    <t>P0300</t>
  </si>
  <si>
    <t>Laboratorios Virtuales</t>
  </si>
  <si>
    <t>OSE 90 4001 2024 SOL 20036</t>
  </si>
  <si>
    <t>P1973</t>
  </si>
  <si>
    <t>P0304</t>
  </si>
  <si>
    <t>Editorial de UNAL</t>
  </si>
  <si>
    <t>NUVU - Proyectos - 00. Administrativos - Todos los documentos</t>
  </si>
  <si>
    <t>P1988</t>
  </si>
  <si>
    <t>P0305</t>
  </si>
  <si>
    <t>Repositorio</t>
  </si>
  <si>
    <t>P1982</t>
  </si>
  <si>
    <t>P0306</t>
  </si>
  <si>
    <t>HPC Registro y Matrícula</t>
  </si>
  <si>
    <t>NUVU - Proyectos - 00. Administrativo - Todos los documentos</t>
  </si>
  <si>
    <t>P1951</t>
  </si>
  <si>
    <t>P0316</t>
  </si>
  <si>
    <t>Ciudades y territorios inteligentes Mintic</t>
  </si>
  <si>
    <t>MTC</t>
  </si>
  <si>
    <t>Mintic</t>
  </si>
  <si>
    <t>NUVU - Proyectos - 01. Habilitacion - Todos los documentos</t>
  </si>
  <si>
    <t>Diana Rojas</t>
  </si>
  <si>
    <t>55163 - Ret
55164 - Fixed
55165 - CLOUD</t>
  </si>
  <si>
    <t>P1952</t>
  </si>
  <si>
    <t>P1953</t>
  </si>
  <si>
    <t>P1954</t>
  </si>
  <si>
    <t>P0309</t>
  </si>
  <si>
    <t>Microcentros AI</t>
  </si>
  <si>
    <t>NUVU - Proyectos - Documentos - 01. Documentación Esencial - Todos los documentos</t>
  </si>
  <si>
    <t>55166 - Ret
55167 - CLOUD</t>
  </si>
  <si>
    <t>P1955</t>
  </si>
  <si>
    <t>P1959</t>
  </si>
  <si>
    <t>P0301</t>
  </si>
  <si>
    <t>Soporte y Mantenimiento Quipu 2024-25</t>
  </si>
  <si>
    <t>SAN</t>
  </si>
  <si>
    <t>Dirección de Sanidad</t>
  </si>
  <si>
    <t>Contrato 07-7-20157-24</t>
  </si>
  <si>
    <t>Gersón Pineda</t>
  </si>
  <si>
    <t>David.Gomez</t>
  </si>
  <si>
    <t>P1960</t>
  </si>
  <si>
    <t>P0307</t>
  </si>
  <si>
    <t>Datalake Secretaria del Hábitat</t>
  </si>
  <si>
    <t>SDH</t>
  </si>
  <si>
    <t>Secretaria Distrital del Hábitat</t>
  </si>
  <si>
    <t>Contrato No 1558-2024</t>
  </si>
  <si>
    <t>55172 - Ret SW
55173 - CLOUD
55174 - Ret</t>
  </si>
  <si>
    <t>P1961</t>
  </si>
  <si>
    <t>P1962</t>
  </si>
  <si>
    <t>P1963</t>
  </si>
  <si>
    <t>P0332</t>
  </si>
  <si>
    <t>IA Sociedades 2024-2025</t>
  </si>
  <si>
    <t>SOC</t>
  </si>
  <si>
    <t>Supersociedades</t>
  </si>
  <si>
    <t>OC139384 
00. Administrativo</t>
  </si>
  <si>
    <t>Daniel Sebastian Vargas</t>
  </si>
  <si>
    <t>55175 - CLOUD
55176 - Ret</t>
  </si>
  <si>
    <t>P1964</t>
  </si>
  <si>
    <t>P1928</t>
  </si>
  <si>
    <t>P1930</t>
  </si>
  <si>
    <t>P1931</t>
  </si>
  <si>
    <t>P1937</t>
  </si>
  <si>
    <t>P0318</t>
  </si>
  <si>
    <t>Servicios profesionales Arquitectura</t>
  </si>
  <si>
    <t>Pedido 4402419 HIGH TECH SOFTWARE SAS</t>
  </si>
  <si>
    <t>55149 - Fixed</t>
  </si>
  <si>
    <t>Contrato FDN</t>
  </si>
  <si>
    <t>KO FNA</t>
  </si>
  <si>
    <t>P1969</t>
  </si>
  <si>
    <t>P0322</t>
  </si>
  <si>
    <t>ODS 1512 - Soporte y Mtto Quipu 24-25</t>
  </si>
  <si>
    <t>UCA</t>
  </si>
  <si>
    <t>Universidad de Caldas</t>
  </si>
  <si>
    <t>ODS 1512-2024</t>
  </si>
  <si>
    <t>Sebastian Vidal</t>
  </si>
  <si>
    <t>Valentina.Salazar</t>
  </si>
  <si>
    <t>Operations_Team_UCA</t>
  </si>
  <si>
    <t>P1949</t>
  </si>
  <si>
    <t>P0320</t>
  </si>
  <si>
    <t>Cloud Sistema de Recaudo</t>
  </si>
  <si>
    <t>MMN</t>
  </si>
  <si>
    <t>Metro de Medellín</t>
  </si>
  <si>
    <t>01. Documentación esencial</t>
  </si>
  <si>
    <t>55161 - Fixed
55162 - CLOUD</t>
  </si>
  <si>
    <t>https://wgcp.sharepoint.com/:x:/r/sites/NUVU-Proyectos/_layouts/15/Doc.aspx?sourcedoc=%7B50D14C49-2031-4558-9BEC-B6C4F9628641%7D&amp;file=Dimensionamiento%20y%20costos%20-%20Metro%20Medellin%20-%20Copia.xlsx&amp;action=default&amp;mobileredirect=true</t>
  </si>
  <si>
    <t>P1950</t>
  </si>
  <si>
    <t>P2225</t>
  </si>
  <si>
    <t>Ret Other Vendors</t>
  </si>
  <si>
    <t>67635 - Other Vendor</t>
  </si>
  <si>
    <t>P2310</t>
  </si>
  <si>
    <t xml:space="preserve">Ret </t>
  </si>
  <si>
    <t>70411 - Ret</t>
  </si>
  <si>
    <t>P1965</t>
  </si>
  <si>
    <t>P0334</t>
  </si>
  <si>
    <t>Repositorio Único de Datos</t>
  </si>
  <si>
    <t>SPD</t>
  </si>
  <si>
    <t>Superservicios</t>
  </si>
  <si>
    <t>PO-140333_v1_20241227</t>
  </si>
  <si>
    <t>Miguel Garcia</t>
  </si>
  <si>
    <t>Santiago Villegas</t>
  </si>
  <si>
    <t>55177 - Fixed
55178 - Ret SW
55179 - CLOUD</t>
  </si>
  <si>
    <t>P1966</t>
  </si>
  <si>
    <t>P1967</t>
  </si>
  <si>
    <t>P1979</t>
  </si>
  <si>
    <t>P0336</t>
  </si>
  <si>
    <t>Gestión de Información</t>
  </si>
  <si>
    <t>NUVU - Proyectos - Documentos - 00. Administrativo - Todos los documentos</t>
  </si>
  <si>
    <t>55191 - Fixed
55192 - Ret
55193 - CLOUD</t>
  </si>
  <si>
    <t>P1980</t>
  </si>
  <si>
    <t>P1981</t>
  </si>
  <si>
    <t>P1989</t>
  </si>
  <si>
    <t>P0330</t>
  </si>
  <si>
    <t>Servicios Quipu</t>
  </si>
  <si>
    <t>OEF 3</t>
  </si>
  <si>
    <t>P1975</t>
  </si>
  <si>
    <t>P0340</t>
  </si>
  <si>
    <t>Facultad de ingenieria</t>
  </si>
  <si>
    <t>P2036</t>
  </si>
  <si>
    <t>P1914</t>
  </si>
  <si>
    <t>P0341</t>
  </si>
  <si>
    <t>Development as a Service</t>
  </si>
  <si>
    <t>PO 7000020361 &amp; PO 7000021280</t>
  </si>
  <si>
    <t>55126 - Fixed
55127 - Ret
55128 - CLOUD
55129 - Ret SW</t>
  </si>
  <si>
    <t>https://wgcp.sharepoint.com/:b:/s/NUVU-Proyectos/IQAS_CUjms1cU1B-YPPgYqMBAcu3G3Wrw6gNMmM_M5Y27a0?e=O0w4aL</t>
  </si>
  <si>
    <t>https://wgcp.sharepoint.com/:b:/s/NUVU-Proyectos/IQBjfBAQLcnyUr3C8FIhl4EBAbp8TvYSDZoiHeWWAE0Pa3U?e=slDQDX</t>
  </si>
  <si>
    <t>P1992</t>
  </si>
  <si>
    <t>P0181</t>
  </si>
  <si>
    <t>Witty Operación</t>
  </si>
  <si>
    <t>WIT</t>
  </si>
  <si>
    <t>Inversiones Kappi S.A.S</t>
  </si>
  <si>
    <t>Contrato operación Kappi</t>
  </si>
  <si>
    <t>Carlos.Aroca</t>
  </si>
  <si>
    <t>P1993</t>
  </si>
  <si>
    <t>P0296</t>
  </si>
  <si>
    <t>Soporte infraestructura</t>
  </si>
  <si>
    <t>SIC</t>
  </si>
  <si>
    <t>OC 128682</t>
  </si>
  <si>
    <t>Gustavo Galvis</t>
  </si>
  <si>
    <t>P1915</t>
  </si>
  <si>
    <t>P1916</t>
  </si>
  <si>
    <t>P1917</t>
  </si>
  <si>
    <t>P2030</t>
  </si>
  <si>
    <t>P0343</t>
  </si>
  <si>
    <t>Servicios de arquitectura</t>
  </si>
  <si>
    <t>Pedido 4402476</t>
  </si>
  <si>
    <t>57152 - CLOUD</t>
  </si>
  <si>
    <t>P1990</t>
  </si>
  <si>
    <t>P0344</t>
  </si>
  <si>
    <t>Soporte y Mtto Quipu 2025</t>
  </si>
  <si>
    <t>NUVU - Proyectos - 00 Administrativo - Todos los documentos</t>
  </si>
  <si>
    <t>P2017</t>
  </si>
  <si>
    <t>P0354</t>
  </si>
  <si>
    <t>Agente Cognitivo y Migración</t>
  </si>
  <si>
    <t>Sin Contrato</t>
  </si>
  <si>
    <t>57143 - Fixed
57144 - CLOUD</t>
  </si>
  <si>
    <t>P2018</t>
  </si>
  <si>
    <t>P2009</t>
  </si>
  <si>
    <t>P0347</t>
  </si>
  <si>
    <t>IAPOL-G - IA Generative</t>
  </si>
  <si>
    <t>PON</t>
  </si>
  <si>
    <t>Policia Nacional</t>
  </si>
  <si>
    <t xml:space="preserve">OC-152418 
5. Documentos contractuales
</t>
  </si>
  <si>
    <t>Camilo Lopez</t>
  </si>
  <si>
    <t>Victor.Castellanos</t>
  </si>
  <si>
    <t>56833 - Fixed
56834 - Ret SW
56835 - Cloud</t>
  </si>
  <si>
    <t>Juan Goméz</t>
  </si>
  <si>
    <t>Orden de compra</t>
  </si>
  <si>
    <t>OC Ponal</t>
  </si>
  <si>
    <t>CET Ponal</t>
  </si>
  <si>
    <t>Anexo técnico</t>
  </si>
  <si>
    <t>09.KO</t>
  </si>
  <si>
    <t xml:space="preserve">Comite de Gestión </t>
  </si>
  <si>
    <t>P2010</t>
  </si>
  <si>
    <t>P2011</t>
  </si>
  <si>
    <t>P2023</t>
  </si>
  <si>
    <t>P2226</t>
  </si>
  <si>
    <t>Other Vendors</t>
  </si>
  <si>
    <t>P2024</t>
  </si>
  <si>
    <t>P0348</t>
  </si>
  <si>
    <t>Digitalización archivo físico</t>
  </si>
  <si>
    <t>Pendiente el contrato</t>
  </si>
  <si>
    <t>57146 - CLOUD
57147 - Fixed</t>
  </si>
  <si>
    <t>P2025</t>
  </si>
  <si>
    <t>P2026</t>
  </si>
  <si>
    <t>Gerson Pineda</t>
  </si>
  <si>
    <t>All-Start Program LATAM</t>
  </si>
  <si>
    <t>P2027</t>
  </si>
  <si>
    <t>P0351</t>
  </si>
  <si>
    <t>PoC Agente para exposición contenido</t>
  </si>
  <si>
    <t>Sin contrato</t>
  </si>
  <si>
    <t>57149 - CLOUD
57150 - Fixed
57151 - Ret SW</t>
  </si>
  <si>
    <t>P2028</t>
  </si>
  <si>
    <t>P2029</t>
  </si>
  <si>
    <t>P2031</t>
  </si>
  <si>
    <t>P0349</t>
  </si>
  <si>
    <t>Evolución Integral Mojana</t>
  </si>
  <si>
    <t>OC146151-
5.Documentos Contractuales</t>
  </si>
  <si>
    <t>Agustin Blanco</t>
  </si>
  <si>
    <t>57153 - CLOUD
57154 - Fixed
57155 - Ret
57156 - Ret SW</t>
  </si>
  <si>
    <t>OC FOA</t>
  </si>
  <si>
    <t>CET FOA</t>
  </si>
  <si>
    <t>Anexo Técnico</t>
  </si>
  <si>
    <t>KO</t>
  </si>
  <si>
    <t>Comite de Gestion</t>
  </si>
  <si>
    <t>P2032</t>
  </si>
  <si>
    <t>OC146151
5.Documentos Contractuales</t>
  </si>
  <si>
    <t>P2033</t>
  </si>
  <si>
    <t>Ronald.Porras</t>
  </si>
  <si>
    <t>P2034</t>
  </si>
  <si>
    <t>P2224</t>
  </si>
  <si>
    <t>P2037</t>
  </si>
  <si>
    <t>P0350</t>
  </si>
  <si>
    <t>Facultad de Derecho concurso méritos</t>
  </si>
  <si>
    <t>57159 - CLOUD
57160 - Ret</t>
  </si>
  <si>
    <t>P2038</t>
  </si>
  <si>
    <t>P2066</t>
  </si>
  <si>
    <t>P0352</t>
  </si>
  <si>
    <t>OSE 26 Admisiones</t>
  </si>
  <si>
    <t>57866 - Cloud</t>
  </si>
  <si>
    <t>P2039</t>
  </si>
  <si>
    <t>Multicash Operación</t>
  </si>
  <si>
    <t>Fiduagraria - Multicash</t>
  </si>
  <si>
    <t>Otrosí No 2 Contrato 040 de 2021</t>
  </si>
  <si>
    <t>P2040</t>
  </si>
  <si>
    <t xml:space="preserve">Quicksight Operación </t>
  </si>
  <si>
    <t>P2041</t>
  </si>
  <si>
    <t xml:space="preserve">Snaptask Operación </t>
  </si>
  <si>
    <t>P2067</t>
  </si>
  <si>
    <t>P0353</t>
  </si>
  <si>
    <t>OSE 43 Moodle Extensión</t>
  </si>
  <si>
    <t>57867 - Cloud</t>
  </si>
  <si>
    <t>P2560</t>
  </si>
  <si>
    <t>P0355</t>
  </si>
  <si>
    <t>Dinara de UNAL</t>
  </si>
  <si>
    <t>P2061</t>
  </si>
  <si>
    <t>57861 - Cloud</t>
  </si>
  <si>
    <t>P2062</t>
  </si>
  <si>
    <t>P0356</t>
  </si>
  <si>
    <t>Facultad de Derecho</t>
  </si>
  <si>
    <t>57862 - Cloud</t>
  </si>
  <si>
    <t>P2556</t>
  </si>
  <si>
    <t>P2065</t>
  </si>
  <si>
    <t>P0357</t>
  </si>
  <si>
    <t>57865 - Cloud</t>
  </si>
  <si>
    <t>P2019</t>
  </si>
  <si>
    <t>P0358</t>
  </si>
  <si>
    <t>Vigilancia y MET Plus</t>
  </si>
  <si>
    <t>OC 145303 - 20250425</t>
  </si>
  <si>
    <t>Fernando.Garcia</t>
  </si>
  <si>
    <t>57245 - Fixed
57246 - CLOUD
57247 - Ret
57248 - Ret SW</t>
  </si>
  <si>
    <t>https://wgcp.sharepoint.com/:b:/s/NUVU-Proyectos/IQAvoLTmYUNsQrVKPRn73ohgAbW2AWRQS0jIrtwWbcBXO40?e=JElZix</t>
  </si>
  <si>
    <t>https://wgcp.sharepoint.com/:x:/s/NUVU-Proyectos/IQDAJTsJ7__ASJnqkj5NLY6zAZA7qH2LkKfq_GRutsFjD7c?e=eneQTX</t>
  </si>
  <si>
    <t>P2020</t>
  </si>
  <si>
    <t>brandon Ardila</t>
  </si>
  <si>
    <t>P2083</t>
  </si>
  <si>
    <t>P0101</t>
  </si>
  <si>
    <t>Product Houndoc Latam</t>
  </si>
  <si>
    <t>P0113</t>
  </si>
  <si>
    <t>Producto - Houndoc</t>
  </si>
  <si>
    <t>Fernando Ortega</t>
  </si>
  <si>
    <t>P2021</t>
  </si>
  <si>
    <t>P2022</t>
  </si>
  <si>
    <t>P2059</t>
  </si>
  <si>
    <t>P0359</t>
  </si>
  <si>
    <t>Contrato 4 - Servicio Computacion</t>
  </si>
  <si>
    <t>57859 - Cloud
57868 - Ret</t>
  </si>
  <si>
    <t>P2068</t>
  </si>
  <si>
    <t>P2063</t>
  </si>
  <si>
    <t>P0360</t>
  </si>
  <si>
    <t>Ofc Gestion Ambiental</t>
  </si>
  <si>
    <t>57863 - Cloud
57864 - Fixed</t>
  </si>
  <si>
    <t>P2064</t>
  </si>
  <si>
    <t>P2086</t>
  </si>
  <si>
    <t>P0361</t>
  </si>
  <si>
    <t>Continuidad Operación AWS</t>
  </si>
  <si>
    <t>Contrato CSJ</t>
  </si>
  <si>
    <t>CET - Renovacion CSJ.xlsx</t>
  </si>
  <si>
    <t>02. Documentos técnicos</t>
  </si>
  <si>
    <t>KO CSJ</t>
  </si>
  <si>
    <t>06. Comité de Gestión</t>
  </si>
  <si>
    <t>P2087</t>
  </si>
  <si>
    <t>P2362</t>
  </si>
  <si>
    <t>P2096</t>
  </si>
  <si>
    <t>P0362</t>
  </si>
  <si>
    <t>Soporte y Mantenimiento Quipu 2025</t>
  </si>
  <si>
    <t>QUIPU 07-7-20048-25</t>
  </si>
  <si>
    <t>https://wgcp.sharepoint.com/:b:/s/NUVU-Proyectos/IQB_a9-WeK3rSpItFfzshYpnAR5G0rUSwAE-FAvFG-c1skM?e=u0ywrW</t>
  </si>
  <si>
    <t>P2097</t>
  </si>
  <si>
    <t>P2121</t>
  </si>
  <si>
    <t>P0363</t>
  </si>
  <si>
    <t>Agente Cognitivo e Infraestructura AWS</t>
  </si>
  <si>
    <t>NUVU - Proyectos - 01 - Habilitadores - Todos los documentos</t>
  </si>
  <si>
    <t>P2122</t>
  </si>
  <si>
    <t>P2123</t>
  </si>
  <si>
    <t>P2124</t>
  </si>
  <si>
    <t>P2192</t>
  </si>
  <si>
    <t>P0364</t>
  </si>
  <si>
    <t>ODS 654 - 2025</t>
  </si>
  <si>
    <t>65898 - Ret</t>
  </si>
  <si>
    <t>P2194</t>
  </si>
  <si>
    <t>65899 - Cloud</t>
  </si>
  <si>
    <t>P2197</t>
  </si>
  <si>
    <t>P0365</t>
  </si>
  <si>
    <t>Evolución Datalake Fase 2 2025</t>
  </si>
  <si>
    <t>ICFES-555-2025</t>
  </si>
  <si>
    <t>P2216</t>
  </si>
  <si>
    <t>P0368</t>
  </si>
  <si>
    <t>Fase 2 Datacali</t>
  </si>
  <si>
    <t>No hay contrato</t>
  </si>
  <si>
    <t>Simon López</t>
  </si>
  <si>
    <t>P2219</t>
  </si>
  <si>
    <t>P0369</t>
  </si>
  <si>
    <t>Agente Cognitivo y Soporte Migración</t>
  </si>
  <si>
    <t>PO-148314_v1_20250627</t>
  </si>
  <si>
    <t>P2220</t>
  </si>
  <si>
    <t>P2221</t>
  </si>
  <si>
    <t>P2222</t>
  </si>
  <si>
    <t>P2223</t>
  </si>
  <si>
    <t>P2198</t>
  </si>
  <si>
    <t>P2199</t>
  </si>
  <si>
    <t>P2200</t>
  </si>
  <si>
    <t>P2240</t>
  </si>
  <si>
    <t>ICF - Evolución Datalake Fase 2 2025 - Ret Other Vendors</t>
  </si>
  <si>
    <t>P2201</t>
  </si>
  <si>
    <t>P0366</t>
  </si>
  <si>
    <t>Migración OCI 2025</t>
  </si>
  <si>
    <t>Project ISH2VI3P6I - MAP</t>
  </si>
  <si>
    <t>P2202</t>
  </si>
  <si>
    <t>P2214</t>
  </si>
  <si>
    <t>P0367</t>
  </si>
  <si>
    <t>PRO</t>
  </si>
  <si>
    <t>Progresión</t>
  </si>
  <si>
    <t>Progresión SCB</t>
  </si>
  <si>
    <t>Contrato Progresion 2025 Vr. Procash.</t>
  </si>
  <si>
    <t>Felipe Castañeda</t>
  </si>
  <si>
    <t>https://wgcp.sharepoint.com/:b:/s/NUVU-Proyectos/IQBRYLY7A8zrR6KUT32FpM4jAUwGiw9TXoy31iNaQmrNwug?e=x6Ay7r</t>
  </si>
  <si>
    <t>P2215</t>
  </si>
  <si>
    <t>P2235</t>
  </si>
  <si>
    <t>P0370</t>
  </si>
  <si>
    <t>Digitalización archivo físico Fase II</t>
  </si>
  <si>
    <t>P2236</t>
  </si>
  <si>
    <t>P2237</t>
  </si>
  <si>
    <t>P2293</t>
  </si>
  <si>
    <t>P0371</t>
  </si>
  <si>
    <t>ADR- MVP Auditoría Médica Especializada - Fixed</t>
  </si>
  <si>
    <t>Auditoría Médica Especializada</t>
  </si>
  <si>
    <t>ADR</t>
  </si>
  <si>
    <t>ADR_ MVP Auditorías</t>
  </si>
  <si>
    <t>NUVU - Proyectos - Documentos - Habilitadores - Todos los documentos</t>
  </si>
  <si>
    <t>N.A</t>
  </si>
  <si>
    <t>P2294</t>
  </si>
  <si>
    <t>ADR- MVP Auditoría Médica Especializada - Cloud</t>
  </si>
  <si>
    <t>P2238</t>
  </si>
  <si>
    <t>P2318</t>
  </si>
  <si>
    <t>ADR- MVP Auditoría Médica Especializada - Ret Other vendors</t>
  </si>
  <si>
    <t>P2345</t>
  </si>
  <si>
    <t>P0140</t>
  </si>
  <si>
    <t>Internal Project Delivery (Ad-Hoc)</t>
  </si>
  <si>
    <t>P2351</t>
  </si>
  <si>
    <t>P2239</t>
  </si>
  <si>
    <t>P02357</t>
  </si>
  <si>
    <t>P0372</t>
  </si>
  <si>
    <t>ACP- Historia Laboral y Recaudo - Fixed</t>
  </si>
  <si>
    <t>Transformación de la Historia Laboral y Recaudo</t>
  </si>
  <si>
    <t>ACP</t>
  </si>
  <si>
    <t>Colpensiones</t>
  </si>
  <si>
    <t>ACP_Historia Laboral</t>
  </si>
  <si>
    <t>P02358</t>
  </si>
  <si>
    <t>ACP- Historia Laboral y Recaudo - Cloud</t>
  </si>
  <si>
    <t>P2243</t>
  </si>
  <si>
    <t>P0373</t>
  </si>
  <si>
    <t>UNA- OSE 3 Secretaría General Fixed</t>
  </si>
  <si>
    <t>Secretaría General</t>
  </si>
  <si>
    <t>P2246</t>
  </si>
  <si>
    <t>UNA- OSE 3 Secretaría General Cloud</t>
  </si>
  <si>
    <t>P2392</t>
  </si>
  <si>
    <t>P0374</t>
  </si>
  <si>
    <t>PO-151730_v1_20250912.pdf</t>
  </si>
  <si>
    <t>Contrato SDH</t>
  </si>
  <si>
    <t>CET Nueva Distribución.xlsx</t>
  </si>
  <si>
    <t>01_ANEXO_TECNICO_Si_Misional_OC151730.pdf</t>
  </si>
  <si>
    <t>Secretaria de Habitat - KickOff (2).pptx</t>
  </si>
  <si>
    <t>P2393</t>
  </si>
  <si>
    <t>P2394</t>
  </si>
  <si>
    <t>P2397</t>
  </si>
  <si>
    <t>P0375</t>
  </si>
  <si>
    <t xml:space="preserve"> Virtualización infraestructura Cali </t>
  </si>
  <si>
    <t>Documentos esenciales</t>
  </si>
  <si>
    <t>P2398</t>
  </si>
  <si>
    <t>P2399</t>
  </si>
  <si>
    <t>P2400</t>
  </si>
  <si>
    <t>P2404</t>
  </si>
  <si>
    <t>P0376</t>
  </si>
  <si>
    <t>Fase III DataCali</t>
  </si>
  <si>
    <t>Documentos escenciales</t>
  </si>
  <si>
    <t>P2405</t>
  </si>
  <si>
    <t>P2432</t>
  </si>
  <si>
    <t>ADR- MVP Auditoría Médica Especializada - RetSW</t>
  </si>
  <si>
    <t>P2431</t>
  </si>
  <si>
    <t>P0377</t>
  </si>
  <si>
    <t>SED- Automatización procesos seguros, adquisiciones y accidentes - Fixed</t>
  </si>
  <si>
    <t xml:space="preserve">Automatización procesos seguros, adquisiciones y accidentes </t>
  </si>
  <si>
    <t>SED</t>
  </si>
  <si>
    <t>Secretaría de Educación del Distrito</t>
  </si>
  <si>
    <t>https://wgcp.sharepoint.com/:f:/s/NUVU-Proyectos/EigIuz4hpPtBj5V2MDV5PfkBtehrrUqLaWUDWxC41UqE-A?e=zjWO8i</t>
  </si>
  <si>
    <t>https://wgcp.sharepoint.com/:w:/s/NUVU-Proyectos/IQA9oIY0obOTQ6_ALa_5n2xTAaWa9YjVIcun8GeiHrD14V0?e=eulf6c</t>
  </si>
  <si>
    <t>https://wgcp.sharepoint.com/:b:/s/NUVU-Proyectos/IQA0yKk4XsKbRKLDGvaRJndQAThLi4E8ci0HdjqORdiO9K8?e=fgjle9</t>
  </si>
  <si>
    <t>https://wgcp.sharepoint.com/:x:/s/NUVU-Proyectos/IQCtgKCv6UWDRpqbaAiFu2kGAVAe4fu-P0wcoCpkpzMYqLI?e=MQ1ce4</t>
  </si>
  <si>
    <t>P2561</t>
  </si>
  <si>
    <t xml:space="preserve">SED- Automatización procesos seguros, adquisiciones y accidentes - Ret </t>
  </si>
  <si>
    <t>P2562</t>
  </si>
  <si>
    <t>SED- Automatización procesos seguros, adquisiciones y accidentes - Ret SW</t>
  </si>
  <si>
    <t>P2563</t>
  </si>
  <si>
    <t>SED- Automatización procesos seguros, adquisiciones y accidentes - Cloud</t>
  </si>
  <si>
    <t>P2466</t>
  </si>
  <si>
    <t>P0378</t>
  </si>
  <si>
    <t>IGM - instituto Geografico Militar - Ecuador  Fixed</t>
  </si>
  <si>
    <t>Assessment Migracion Nube AWS</t>
  </si>
  <si>
    <t>IGM</t>
  </si>
  <si>
    <t>Instituto Geografico Militar</t>
  </si>
  <si>
    <t>Marcela Sanchez</t>
  </si>
  <si>
    <t>Cristhyan Gutierrez</t>
  </si>
  <si>
    <t>CET - IGM Assessment Migracion.xlsx</t>
  </si>
  <si>
    <t>03 Documentos Contractuales y tecnicos</t>
  </si>
  <si>
    <t>04. Kickoff</t>
  </si>
  <si>
    <t>P2473</t>
  </si>
  <si>
    <t>IGM - instituto Geografico Militar - Ecuador Ret</t>
  </si>
  <si>
    <t>P2474</t>
  </si>
  <si>
    <t>IGM - instituto Geografico Militar - Ecuador Ret Cloud</t>
  </si>
  <si>
    <t>P2475</t>
  </si>
  <si>
    <t>IGM - instituto Geografico Militar - Ecuador Ret SW</t>
  </si>
  <si>
    <t>Ret Sw</t>
  </si>
  <si>
    <t>P2427</t>
  </si>
  <si>
    <t>P0379</t>
  </si>
  <si>
    <t>UNA- OSE61 Egresados Cloud</t>
  </si>
  <si>
    <t>Egresados Cloud</t>
  </si>
  <si>
    <t>P2428</t>
  </si>
  <si>
    <t>UNA- OSE61 Egresados Ret</t>
  </si>
  <si>
    <t>P2429</t>
  </si>
  <si>
    <t>UNA- OSE61 Egresados Fixed</t>
  </si>
  <si>
    <t>P2457</t>
  </si>
  <si>
    <t>P0380</t>
  </si>
  <si>
    <t>CO - ADRES - AI Medical Audit Phase 1 - Fixed</t>
  </si>
  <si>
    <t>AI Auditoría Médica</t>
  </si>
  <si>
    <t>[P2457] - ADR - Sistema de Gestión de Auditorias</t>
  </si>
  <si>
    <t>Indira Duarte</t>
  </si>
  <si>
    <t>https://wgcp.sharepoint.com/:b:/s/NUVU-Proyectos/IQB2X9COMsg3SZBdZJAdyVqoAd9jLHnp7ipZV-a-PGd6ODI?e=LZZ6P2</t>
  </si>
  <si>
    <t>https://wgcp.sharepoint.com/:b:/s/NUVU-Proyectos/IQB2X9COMsg3SZBdZJAdyVqoAd9jLHnp7ipZV-a-PGd6ODI?e=ysQ47K</t>
  </si>
  <si>
    <t>https://wgcp.sharepoint.com/:x:/s/NUVU-Proyectos/IQC-JCt8uGI7Q6BsjWOMoAzTAeOAr_PQOylg-7onWo-VOck?e=Gopokr</t>
  </si>
  <si>
    <t>P2470</t>
  </si>
  <si>
    <t>CO - ADRES - AI Medical Audit Phase 1 - Cloud</t>
  </si>
  <si>
    <t>P2471</t>
  </si>
  <si>
    <t>CO - ADRES - AI Medical Audit Phase 1 - Ret Sw</t>
  </si>
  <si>
    <t>P2472</t>
  </si>
  <si>
    <t>CO - ADRES - AI Medical Audit Phase 1 - Other Vendors</t>
  </si>
  <si>
    <t>P2504</t>
  </si>
  <si>
    <t>P0381</t>
  </si>
  <si>
    <t>CO - ADRES - Modernizacion - Fixed</t>
  </si>
  <si>
    <t>Contribución Solidaria y Cobro Coactivo</t>
  </si>
  <si>
    <t>02. Alcance del Proyecto</t>
  </si>
  <si>
    <t>[P2504] - ADRES - Contribución Solidaria y Cobro Coactivo</t>
  </si>
  <si>
    <t>Fernando Gaitan</t>
  </si>
  <si>
    <t>P2505</t>
  </si>
  <si>
    <t>CO - ADRES - Modernizacion - Cloud</t>
  </si>
  <si>
    <t>P2506</t>
  </si>
  <si>
    <t>CO - ADRES - Modernizacion - Ret</t>
  </si>
  <si>
    <t>P2507</t>
  </si>
  <si>
    <t>CO - ADRES - Modernizacion - Other Vendors</t>
  </si>
  <si>
    <t>P2508</t>
  </si>
  <si>
    <t>CO - ADRES - Modernizacion - Ret Sw</t>
  </si>
  <si>
    <t>P2541</t>
  </si>
  <si>
    <t>P0382</t>
  </si>
  <si>
    <t>Hacienda a un Click</t>
  </si>
  <si>
    <t>[P2604] ACA - Hacienda a un Click</t>
  </si>
  <si>
    <t>P2542</t>
  </si>
  <si>
    <t>P2543</t>
  </si>
  <si>
    <t>P2544</t>
  </si>
  <si>
    <t>P2532</t>
  </si>
  <si>
    <t>P0383</t>
  </si>
  <si>
    <t>ICF - Banco de Items</t>
  </si>
  <si>
    <t>Banco Items</t>
  </si>
  <si>
    <t>ICFES</t>
  </si>
  <si>
    <t>Icfes - Banco de Items</t>
  </si>
  <si>
    <t>https://wgcp.sharepoint.com/:w:/s/NUVU-Proyectos/IQBT1Ef0HwweTr-YIWHSoGz2AQuL3ScLY7GfJ_AYGZtEGBw?e=day4rp</t>
  </si>
  <si>
    <t>https://wgcp.sharepoint.com/:b:/s/NUVU-Proyectos/IQBNWBBrMNwURrBcy5mtWX89AXldpwKB9cvz_o_cpch22Ss?e=y385CD</t>
  </si>
  <si>
    <t>https://wgcp.sharepoint.com/:x:/s/NUVU-Proyectos/IQB5v-kcU_jzQoTCaW6RXaJUAfofavAatV9I5jce2Bhjo7U?e=ajLD7p</t>
  </si>
  <si>
    <t>P2533</t>
  </si>
  <si>
    <t>P2534</t>
  </si>
  <si>
    <t>P2535</t>
  </si>
  <si>
    <t>P2557</t>
  </si>
  <si>
    <t>P0384</t>
  </si>
  <si>
    <t>ICF - Operacion en AWS</t>
  </si>
  <si>
    <t>Operacion en AWS</t>
  </si>
  <si>
    <t>Operacion e infraestructura AWS</t>
  </si>
  <si>
    <t>https://wgcp.sharepoint.com/:w:/s/NUVU-Proyectos/IQBQX3-2ouW6RqKH3bD-hHM0AQe4bTsTbr0o8Ka7HIZwR0s?e=AIzAOV</t>
  </si>
  <si>
    <t>https://wgcp.sharepoint.com/:b:/s/NUVU-Proyectos/IQBsuAhCI_gqTYLjUKKukouHAVIb03jkAZ86pLAykxQuzeE?e=p7VD8K</t>
  </si>
  <si>
    <t>https://wgcp.sharepoint.com/:x:/s/NUVU-Proyectos/IQDpvmjMudq6S6_c65ATBHIxAQkES29NwoSuEJkQLKWidlc?e=OUQwsi</t>
  </si>
  <si>
    <t>P2558</t>
  </si>
  <si>
    <t>P2559</t>
  </si>
  <si>
    <t>P2577</t>
  </si>
  <si>
    <t>P0385</t>
  </si>
  <si>
    <t>ICF - Datalake</t>
  </si>
  <si>
    <t>Datalake</t>
  </si>
  <si>
    <t>Operacion Datalake</t>
  </si>
  <si>
    <t>https://wgcp.sharepoint.com/:b:/s/NUVU-Proyectos/IQCCwrTkGksXSbLTxJjBNb9vAemEaQrJYCnQyQNzVjebRPM?e=dNTXwP</t>
  </si>
  <si>
    <t>https://wgcp.sharepoint.com/:b:/s/NUVU-Proyectos/IQDa0le8ehyfSZKEcl6aVQDuAaBlgjTWMD7m1y5EnIrP4aw?e=u9MBev</t>
  </si>
  <si>
    <t>https://wgcp.sharepoint.com/:x:/s/NUVU-Proyectos/IQDbCs_9O7SMSZOhx8f3NvZ2AaBhJoG7a7UDhQPdH-o8gOk?e=co7snW</t>
  </si>
  <si>
    <t>P2578</t>
  </si>
  <si>
    <t>P2579</t>
  </si>
  <si>
    <t>P2580</t>
  </si>
  <si>
    <t>P2583</t>
  </si>
  <si>
    <t>P2575</t>
  </si>
  <si>
    <t>P0386</t>
  </si>
  <si>
    <t>Servicios Profesionales</t>
  </si>
  <si>
    <t>UDS</t>
  </si>
  <si>
    <t>Universidad de la Sabana</t>
  </si>
  <si>
    <t>PEDIDO 119697 HIGH TECH SAS.pdf</t>
  </si>
  <si>
    <t>Christian Lopez</t>
  </si>
  <si>
    <t>OC UDS</t>
  </si>
  <si>
    <t>CET UDS</t>
  </si>
  <si>
    <t>04. Documentación técnica</t>
  </si>
  <si>
    <t>05. Kick off</t>
  </si>
  <si>
    <t>P2569</t>
  </si>
  <si>
    <t>P0387</t>
  </si>
  <si>
    <t>CO - Universidad Nacional- Fortinet - Cloud</t>
  </si>
  <si>
    <t>Fortinet 2</t>
  </si>
  <si>
    <t>Universidad Nacional de Colombia</t>
  </si>
  <si>
    <t>P2570</t>
  </si>
  <si>
    <t>CO - Universidad Nacional- Fortinet - Ret</t>
  </si>
  <si>
    <t>NUVU - Proyectos - Documentos - [P0387] CO- Universidad Nacional - Fortinet - Todos los documentos</t>
  </si>
  <si>
    <t>P2571</t>
  </si>
  <si>
    <t>CO - Universidad Nacional- Fortinet - Other Vendors</t>
  </si>
  <si>
    <t>P2572</t>
  </si>
  <si>
    <t>CO - Universidad Nacional- Fortinet - Fixed</t>
  </si>
  <si>
    <t>P2592</t>
  </si>
  <si>
    <t>P0388</t>
  </si>
  <si>
    <t>CO - Metro de Medellín - Inteligencia de Negocios y Analítica - Cloud</t>
  </si>
  <si>
    <t>Analítica de Datos</t>
  </si>
  <si>
    <t>NUVU - Proyectos - 01. Documentación Esencial - Todos los documentos</t>
  </si>
  <si>
    <t>NUVU - Proyectos - Documentos - [P0388] Servicio de Diseño e Implementación de Inteligencia de Negocios y Analítica - Todos los documentos</t>
  </si>
  <si>
    <t>https://wgcp.sharepoint.com/:f:/s/NUVU-Proyectos/IgCY25D15DxLSa9DYH9s6utIAaMnK1Rg75nejxhVuHlx8yI?e=8dChLU</t>
  </si>
  <si>
    <t>https://wgcp.sharepoint.com/:f:/s/NUVU-Proyectos/IgCefMgMCwz6SaRxMs7xsiX1AZx58kXLD-oJsGFxjHKaNEc?e=FsDMK8</t>
  </si>
  <si>
    <t>P2593</t>
  </si>
  <si>
    <t>CO - Metro de Medellín - Inteligencia de Negocios y Analítica - Fixed</t>
  </si>
  <si>
    <t>P</t>
  </si>
  <si>
    <t>P2594</t>
  </si>
  <si>
    <t>CO - Metro de Medellín - Inteligencia de Negocios y Analítica - Ret</t>
  </si>
  <si>
    <t>P2615</t>
  </si>
  <si>
    <t>P0389</t>
  </si>
  <si>
    <t>CJU - Juegos Localizados enovacion Cloud</t>
  </si>
  <si>
    <t>CJU - Localizados</t>
  </si>
  <si>
    <t>Coljuegos</t>
  </si>
  <si>
    <t>Juegos Localizados</t>
  </si>
  <si>
    <t>[P0389] CJU - Localizados Renovacion</t>
  </si>
  <si>
    <t>https://wgcp.sharepoint.com/:w:/s/NUVU-Proyectos/IQC-koaUcegKTLskiTusV5aDAbWhqnY0G0HcynNLH7e4QM0?e=4cnHcg</t>
  </si>
  <si>
    <t>https://wgcp.sharepoint.com/:b:/s/NUVU-Proyectos/IQA1JTd9_sTkRYScDpQXLP6jAUn0whC1p8uRDG44bU0wFMs?e=wEHVnf</t>
  </si>
  <si>
    <t>P2616</t>
  </si>
  <si>
    <t>CJU - Juegos Localizados enovacion Fixed</t>
  </si>
  <si>
    <t>P2617</t>
  </si>
  <si>
    <t>CJU - Juegos Localizados enovacion Ret</t>
  </si>
  <si>
    <t>P2618</t>
  </si>
  <si>
    <t>CJU - Juegos Localizados enovacion Ret SW</t>
  </si>
  <si>
    <t>P2619</t>
  </si>
  <si>
    <t>P0390</t>
  </si>
  <si>
    <t>CJU - Secretaria Tecnica Renovacion Cloud</t>
  </si>
  <si>
    <t>CJU - STecnica</t>
  </si>
  <si>
    <t>Secretaría Tecnica</t>
  </si>
  <si>
    <t>[P0390] CJU - STecnica Renovacion</t>
  </si>
  <si>
    <t>https://wgcp.sharepoint.com/:w:/s/NUVU-Proyectos/IQCuR_0QZ96uQqNsR7_kj69WAUlg7xlBP-GdOU--BvlcwNw?e=bcdF7j</t>
  </si>
  <si>
    <t>https://wgcp.sharepoint.com/:b:/s/NUVU-Proyectos/IQC5zMBs_Ya5SKeBatIUEr7TAThyh96WP5WrMbjig5dNxf8?e=GczddD</t>
  </si>
  <si>
    <t>https://wgcp.sharepoint.com/:x:/s/NUVU-Proyectos/IQCCHUopPwOkT4HkrIIEc-ySAQ7Hkyh3bbEpH-JPfm1GplI?e=zFo0gw</t>
  </si>
  <si>
    <t>P2620</t>
  </si>
  <si>
    <t>CJU - Secretaria Tecnica Renovacion Fixed</t>
  </si>
  <si>
    <t>P2621</t>
  </si>
  <si>
    <t>CJU - Secretaria Tecnica Renovacion Ret</t>
  </si>
  <si>
    <t>P2622</t>
  </si>
  <si>
    <t>CJU - Secretaria Tecnica Renovacion Ret SW</t>
  </si>
  <si>
    <t>P2630</t>
  </si>
  <si>
    <t>P0391</t>
  </si>
  <si>
    <t>CO-Supersociedades Renewal</t>
  </si>
  <si>
    <t>SOC-Renewal</t>
  </si>
  <si>
    <t>OC158153</t>
  </si>
  <si>
    <t>Johann Soto</t>
  </si>
  <si>
    <t>OC SOC</t>
  </si>
  <si>
    <t>CET - Supersociedades renovación v5.xlsx</t>
  </si>
  <si>
    <t>Especificación tecnica SSOC 2025.docx</t>
  </si>
  <si>
    <t>02.Comité de gestión</t>
  </si>
  <si>
    <t>P2631</t>
  </si>
  <si>
    <t>P2632</t>
  </si>
  <si>
    <t>P2639</t>
  </si>
  <si>
    <t>P0394</t>
  </si>
  <si>
    <t>CO - Fiduagraria- Renovacion Quicksight 2026 - Cloud</t>
  </si>
  <si>
    <t>Quicksight Operación 2026</t>
  </si>
  <si>
    <t>OTROSI 4 CTO 037-2021. HIGH TECH.</t>
  </si>
  <si>
    <t>P2635</t>
  </si>
  <si>
    <t>P0395</t>
  </si>
  <si>
    <t>CO - Fiduagraria- Renovacion Smartcash 2026 - Fixed</t>
  </si>
  <si>
    <t>CP Suite ( Smartcash) Operación 2026</t>
  </si>
  <si>
    <t>OTROSI 4 CTO 032-2021. HIGH TECH</t>
  </si>
  <si>
    <t>P2636</t>
  </si>
  <si>
    <t>CO - Fiduagraria- Renovacion Smartcash 2026 - Ret</t>
  </si>
  <si>
    <t>P2637</t>
  </si>
  <si>
    <t>CO - Fiduagraria- Renovacion Smartcash 2026 - Cloud</t>
  </si>
  <si>
    <t>P2638</t>
  </si>
  <si>
    <t>CO - Fiduagraria- Renovacion Smartcash 2026 - Ret SW</t>
  </si>
  <si>
    <t>P2611</t>
  </si>
  <si>
    <t>P0396</t>
  </si>
  <si>
    <t>CO - Ministerio de educación - Colombia Aprende Portal - Operation - Fixed</t>
  </si>
  <si>
    <t>MEN</t>
  </si>
  <si>
    <t>Ministerio de educación Nacional</t>
  </si>
  <si>
    <t>https://wgcp.sharepoint.com/:b:/s/NUVU-Proyectos/IQACrrJFUa8BSacSodOa_8BnAUXwDyuNfRd7MQf8ALoqjsk?e=gPrMHf</t>
  </si>
  <si>
    <t>https://wgcp.sharepoint.com/:b:/s/NUVU-Proyectos/IQCCPUKVBixPSZGyjXrDvGURAV5W2ZxBNQs85okddyEXxeg?e=6Hgiw9</t>
  </si>
  <si>
    <t>https://wgcp.sharepoint.com/:x:/s/NUVU-Proyectos/IQARTLki350KRrfYUB02KecmAStn9MEFCSjVvvju3C6bNCA?e=e4xDKt</t>
  </si>
  <si>
    <t>P2612</t>
  </si>
  <si>
    <t>CO - Ministerio de educación - Colombia Aprende Portal - Operation - Ret</t>
  </si>
  <si>
    <t>P2634</t>
  </si>
  <si>
    <t>CO - Ministerio de educación - Colombia Aprende Portal - Operation - Cloud</t>
  </si>
  <si>
    <t>P2640</t>
  </si>
  <si>
    <t>P0397</t>
  </si>
  <si>
    <t>SEP - Secretaria de Planeacion - SIPU - Operation - Fixed</t>
  </si>
  <si>
    <t>Mantenimiento y adiciones SIPU</t>
  </si>
  <si>
    <t>SEP</t>
  </si>
  <si>
    <t>Secretaría de Planeación Distrital</t>
  </si>
  <si>
    <t>Doc Contractual</t>
  </si>
  <si>
    <t>Doc Esencial</t>
  </si>
  <si>
    <t>https://wgcp.sharepoint.com/:b:/s/NUVU-Proyectos/IQBlrnG99xgjRI7d8lnEMrwUAdPp1jLiQtXhdGM9-_248KA?e=sUurxP</t>
  </si>
  <si>
    <t>https://wgcp.sharepoint.com/:b:/s/NUVU-Proyectos/IQC_zDYaCYxLR6CsR1N2QSifAZe_nM3NAAoU64c1GkSDi0o?e=DqtYAj</t>
  </si>
  <si>
    <t>P2641</t>
  </si>
  <si>
    <t>SEP - Secretaria de Planeacion - SIPU - Operation - Cloud</t>
  </si>
  <si>
    <t>P2642</t>
  </si>
  <si>
    <t>SEP - Secretaria de Planeacion - SIPU - Operation - Ret</t>
  </si>
  <si>
    <t>P2643</t>
  </si>
  <si>
    <t>SEP - Secretaria de Planeacion - SIPU - Operation - Ret SW</t>
  </si>
  <si>
    <t>P2671</t>
  </si>
  <si>
    <t>P0398</t>
  </si>
  <si>
    <t>HotelPlanner - AWS Database Migration &amp; Modernization</t>
  </si>
  <si>
    <t>AWS Database Migration &amp; Modernization</t>
  </si>
  <si>
    <t>HPL</t>
  </si>
  <si>
    <t xml:space="preserve">HotelPlanner </t>
  </si>
  <si>
    <t>Yidaido Rojas</t>
  </si>
  <si>
    <t>Andres Perlaza</t>
  </si>
  <si>
    <t>https://wgcp.sharepoint.com/:b:/s/NUVU-Proyectos/IQBCg48XOQaHTpcY7iKzfAZ6ARc4xS1dLoOKXa7D0urKQMg?e=ZssgEP</t>
  </si>
  <si>
    <t>P2723</t>
  </si>
  <si>
    <t>P0399</t>
  </si>
  <si>
    <t>CO - Superservicios renovacion observatorio de datos- Fixed</t>
  </si>
  <si>
    <t>Renovacion observatorio de datos-</t>
  </si>
  <si>
    <t>Juan Camargo</t>
  </si>
  <si>
    <t>https://wgcp.sharepoint.com/:b:/s/NUVU-Proyectos/IQDx4_BylubzSreMf7yLSpL9AbO7xyrSxftRahs4p-Rncnw?e=CJwvMp</t>
  </si>
  <si>
    <t>https://wgcp.sharepoint.com/:b:/s/NUVU-Proyectos/IQDl_VUECcDVR6W4hkzBYboEAW8N3CNry_WQCh9rAxtRfd8?e=TlCLhy</t>
  </si>
  <si>
    <t>https://wgcp.sharepoint.com/:x:/s/NUVU-Proyectos/IQDH6mWG-KqMQq69-L8o-lQSAcLNz2851BMxQ6g95fzb5BE?e=FD36uy</t>
  </si>
  <si>
    <t>P2724</t>
  </si>
  <si>
    <t>CO - Superservicios renovacion observatorio de datos- Ret SW</t>
  </si>
  <si>
    <t>P2725</t>
  </si>
  <si>
    <t>CO - Superservicios renovacion observatorio de datos- Cloud</t>
  </si>
  <si>
    <t>P2726</t>
  </si>
  <si>
    <t>CO - Superservicios renovacion observatorio de datos- Ret</t>
  </si>
  <si>
    <t>P2729</t>
  </si>
  <si>
    <t>P0400</t>
  </si>
  <si>
    <t>CO - ICFES - Banco de items Fase 2 - Ret</t>
  </si>
  <si>
    <t>Banco de items Fase 2</t>
  </si>
  <si>
    <t>P2730</t>
  </si>
  <si>
    <t>CO - ICFES - Banco de items Fase 2 - Ret Other Vendors</t>
  </si>
  <si>
    <t>P2731</t>
  </si>
  <si>
    <t>CO - ICFES - Banco de items Fase 2 - Cloud</t>
  </si>
  <si>
    <t>P2732</t>
  </si>
  <si>
    <t>P0401</t>
  </si>
  <si>
    <t>CO - ICFES - Datalake 2026-1 - Ret</t>
  </si>
  <si>
    <t>Datalake 2026-1</t>
  </si>
  <si>
    <t>P2733</t>
  </si>
  <si>
    <t>CO - ICFES - Datalake 2026-1 - Cloud</t>
  </si>
  <si>
    <t>P2734</t>
  </si>
  <si>
    <t>CO - ICFES - Datalake 2026-1 - Ret Sw</t>
  </si>
  <si>
    <t>P2736</t>
  </si>
  <si>
    <t>P0402</t>
  </si>
  <si>
    <t>CO - Catastro - Fase 3 - Fixed</t>
  </si>
  <si>
    <t>Fase 3</t>
  </si>
  <si>
    <t>Catastro</t>
  </si>
  <si>
    <t>P2737</t>
  </si>
  <si>
    <t>CO - Catastro - Fase 3 - Ret</t>
  </si>
  <si>
    <t>P2738</t>
  </si>
  <si>
    <t>CO - Catastro - Fase 3 - Cloud</t>
  </si>
  <si>
    <t>Catatro</t>
  </si>
  <si>
    <t>P2743</t>
  </si>
  <si>
    <t>P0403</t>
  </si>
  <si>
    <t>CO - Ingenium - API Manager -Ret</t>
  </si>
  <si>
    <t>API Manager</t>
  </si>
  <si>
    <t>Ingenium</t>
  </si>
  <si>
    <t>https://wgcp.sharepoint.com/:b:/s/NUVU-Proyectos/IQBhtAS5nc71Q6gCP4UUu3gsAVOK2Xrr-YypmqfzMoWd9-Y?e=WcEJoE</t>
  </si>
  <si>
    <t>https://wgcp.sharepoint.com/:x:/s/NUVU-Proyectos/IQCyDupaIZthT6WzsRSxTWdJAY93zy5lFr5MJH65ZSg7diM?e=9nW9md</t>
  </si>
  <si>
    <t>P2748</t>
  </si>
  <si>
    <t>CO - Ingenium - API Manager -Fixed</t>
  </si>
  <si>
    <t>P2717</t>
  </si>
  <si>
    <t>P0404</t>
  </si>
  <si>
    <t>CO - Universidad de caldas Renovación Semestre 1 - 2025</t>
  </si>
  <si>
    <t>Renovación Semestre 1 - 2025</t>
  </si>
  <si>
    <t>https://wgcp.sharepoint.com/:b:/s/NUVU-Proyectos/IQBxD-SKKYsCSJKfj408U1tsAY4iFS5FeFlPdgXOy8m_8N0?e=xYBMtm</t>
  </si>
  <si>
    <t>https://wgcp.sharepoint.com/:x:/r/sites/NUVU-Proyectos/_layouts/15/Doc.aspx?sourcedoc=%7B0932C83C-D4F6-426D-B7F0-5DA59F498134%7D&amp;file=CET%20-%20Renovaci%C3%B3n%202026.xlsx&amp;action=default&amp;mobileredirect=true</t>
  </si>
  <si>
    <t>P2742</t>
  </si>
  <si>
    <t>P0405</t>
  </si>
  <si>
    <t>CO - ICFES - Citación con Georreferenciación - Fixed</t>
  </si>
  <si>
    <t>Citación con Georreferenciación</t>
  </si>
  <si>
    <t>P2744</t>
  </si>
  <si>
    <t>CO - ICFES - Citación con Georreferenciación - Ret</t>
  </si>
  <si>
    <t>P2745</t>
  </si>
  <si>
    <t>CO - ICFES - Citación con Georreferenciación - Ret SW</t>
  </si>
  <si>
    <t>P2746</t>
  </si>
  <si>
    <t>CO - ICFES - Citación con Georreferenciación - Other Vendors</t>
  </si>
  <si>
    <t>P2747</t>
  </si>
  <si>
    <t>CO - ICFES - Citación con Georreferenciación - Cloud</t>
  </si>
  <si>
    <t>Pending</t>
  </si>
  <si>
    <t>P0043</t>
  </si>
  <si>
    <t>Rendara - MVP Implementación</t>
  </si>
  <si>
    <t>REN</t>
  </si>
  <si>
    <t>Rendara S.A.S</t>
  </si>
  <si>
    <t>Contrato de suministro de célula ágil</t>
  </si>
  <si>
    <t>P0269</t>
  </si>
  <si>
    <t>Desarrollo Muttu 2.0</t>
  </si>
  <si>
    <t>MTU</t>
  </si>
  <si>
    <t>Fiducoldex- Muttu</t>
  </si>
  <si>
    <t>Cto Muttu 2.0</t>
  </si>
  <si>
    <t>P0293</t>
  </si>
  <si>
    <t>Operación - Muttu V2.0</t>
  </si>
  <si>
    <t>Fiducoldex</t>
  </si>
  <si>
    <t>Operacion.MTU</t>
  </si>
  <si>
    <t>P0315</t>
  </si>
  <si>
    <t>Assessment Data Analytics</t>
  </si>
  <si>
    <t>BCX</t>
  </si>
  <si>
    <t>Bancoldex</t>
  </si>
  <si>
    <t>Contrato Ingenium</t>
  </si>
  <si>
    <t>Harold Moncaleano</t>
  </si>
  <si>
    <t>P0319</t>
  </si>
  <si>
    <t>POC Agente Cognitivo Contratación</t>
  </si>
  <si>
    <t>POC Agente Cognitivo</t>
  </si>
  <si>
    <t>P0327</t>
  </si>
  <si>
    <t>POC - Grupos Relacionados por el Diagnóstico (GRDs)</t>
  </si>
  <si>
    <t>MDR</t>
  </si>
  <si>
    <t>MDERI</t>
  </si>
  <si>
    <t>POC - GRDs</t>
  </si>
  <si>
    <t>P0328</t>
  </si>
  <si>
    <t>POC - Análisis de llamadas</t>
  </si>
  <si>
    <t>P0329</t>
  </si>
  <si>
    <t>POC - EVA</t>
  </si>
  <si>
    <t>Minciencias POC EVA</t>
  </si>
  <si>
    <t>P0335</t>
  </si>
  <si>
    <t>PoC ACI Pagos Inmediatos</t>
  </si>
  <si>
    <t>BRE</t>
  </si>
  <si>
    <t>Banco de la República</t>
  </si>
  <si>
    <t>Juan Tinjaca</t>
  </si>
  <si>
    <t>P0342</t>
  </si>
  <si>
    <t>Poc Analitica</t>
  </si>
  <si>
    <t>CCB</t>
  </si>
  <si>
    <t>Poc Análitica CCB</t>
  </si>
  <si>
    <t>P2786</t>
  </si>
  <si>
    <t>P2822</t>
  </si>
  <si>
    <t>P0406</t>
  </si>
  <si>
    <t>CO - Alcaldia de Cali - Secretaría de Transparencia MVP - Fixed</t>
  </si>
  <si>
    <t xml:space="preserve">Secretaría de Transparencia MVP </t>
  </si>
  <si>
    <t>Anyeline Lozada</t>
  </si>
  <si>
    <t>P2823</t>
  </si>
  <si>
    <t>CO - Alcaldia de Cali - Secretaría de Transparencia MVP - Ret</t>
  </si>
  <si>
    <t>P2824</t>
  </si>
  <si>
    <t>CO - Alcaldia de Cali - Secretaría de Transparencia MVP - Cloud</t>
  </si>
  <si>
    <t>ClientId</t>
  </si>
  <si>
    <t>Nombre Cliente</t>
  </si>
  <si>
    <t>Nombre Corto</t>
  </si>
  <si>
    <t>ACT</t>
  </si>
  <si>
    <t>Acttiva</t>
  </si>
  <si>
    <t>acttiva</t>
  </si>
  <si>
    <t>Fiduagraria</t>
  </si>
  <si>
    <t>fiduagraria</t>
  </si>
  <si>
    <t>ALC</t>
  </si>
  <si>
    <t>A la Caja</t>
  </si>
  <si>
    <t>alacaja</t>
  </si>
  <si>
    <t>ALI</t>
  </si>
  <si>
    <t>Alianza</t>
  </si>
  <si>
    <t>alianza</t>
  </si>
  <si>
    <t>ALU</t>
  </si>
  <si>
    <t>AlterU</t>
  </si>
  <si>
    <t>alteru</t>
  </si>
  <si>
    <t>AVA</t>
  </si>
  <si>
    <t>Avanzo</t>
  </si>
  <si>
    <t>avanzo</t>
  </si>
  <si>
    <t>BTG Pactual Colombia</t>
  </si>
  <si>
    <t>Camara de Comercio de Bogotá</t>
  </si>
  <si>
    <t>ccb</t>
  </si>
  <si>
    <t>CGR</t>
  </si>
  <si>
    <t>Contraloría</t>
  </si>
  <si>
    <t>contraloría</t>
  </si>
  <si>
    <t>COL</t>
  </si>
  <si>
    <t>Colcharter</t>
  </si>
  <si>
    <t>colcharter</t>
  </si>
  <si>
    <t>COM</t>
  </si>
  <si>
    <t>Compensar</t>
  </si>
  <si>
    <t>compensar</t>
  </si>
  <si>
    <t>CRD</t>
  </si>
  <si>
    <t>Credicorp</t>
  </si>
  <si>
    <t>credicorp</t>
  </si>
  <si>
    <t>DIAN</t>
  </si>
  <si>
    <t>dian</t>
  </si>
  <si>
    <t>DIN</t>
  </si>
  <si>
    <t>DING - Tecnipagos</t>
  </si>
  <si>
    <t>ding</t>
  </si>
  <si>
    <t>Global Securities</t>
  </si>
  <si>
    <t>globalsec</t>
  </si>
  <si>
    <t>INM</t>
  </si>
  <si>
    <t>Inmobing</t>
  </si>
  <si>
    <t>inmobing</t>
  </si>
  <si>
    <t>MinTic</t>
  </si>
  <si>
    <t>NEP</t>
  </si>
  <si>
    <t>Nueva Eps</t>
  </si>
  <si>
    <t>nuevaeps</t>
  </si>
  <si>
    <t>Blend360</t>
  </si>
  <si>
    <t>Blend</t>
  </si>
  <si>
    <t>NTH</t>
  </si>
  <si>
    <t>T Humano</t>
  </si>
  <si>
    <t>thumano</t>
  </si>
  <si>
    <t>ponal</t>
  </si>
  <si>
    <t>POW</t>
  </si>
  <si>
    <t>Powwi</t>
  </si>
  <si>
    <t>powwi</t>
  </si>
  <si>
    <t>Sanidad</t>
  </si>
  <si>
    <t>sanidad</t>
  </si>
  <si>
    <t>Superintendencia de Sociedades</t>
  </si>
  <si>
    <t>supersociedades</t>
  </si>
  <si>
    <t>SYM</t>
  </si>
  <si>
    <t>Symplifica</t>
  </si>
  <si>
    <t>symplifica</t>
  </si>
  <si>
    <t>TBL</t>
  </si>
  <si>
    <t>TuBoleta</t>
  </si>
  <si>
    <t>tuboleta</t>
  </si>
  <si>
    <t>TVI</t>
  </si>
  <si>
    <t>Televideo</t>
  </si>
  <si>
    <t>televideo</t>
  </si>
  <si>
    <t>UBosque</t>
  </si>
  <si>
    <t>ubosque</t>
  </si>
  <si>
    <t>ucaldas</t>
  </si>
  <si>
    <t>unal</t>
  </si>
  <si>
    <t>VFY</t>
  </si>
  <si>
    <t>Virufy</t>
  </si>
  <si>
    <t>virufy</t>
  </si>
  <si>
    <t>SCO</t>
  </si>
  <si>
    <t>Smartco</t>
  </si>
  <si>
    <t>smartco</t>
  </si>
  <si>
    <t>Witty</t>
  </si>
  <si>
    <t>witty</t>
  </si>
  <si>
    <t>INN</t>
  </si>
  <si>
    <t>Innpulsa</t>
  </si>
  <si>
    <t>innpulsa</t>
  </si>
  <si>
    <t>Rendara</t>
  </si>
  <si>
    <t>rendara</t>
  </si>
  <si>
    <t>KOI</t>
  </si>
  <si>
    <t>Koia</t>
  </si>
  <si>
    <t>koia</t>
  </si>
  <si>
    <t>MAI</t>
  </si>
  <si>
    <t>Maint SA - Ecuador</t>
  </si>
  <si>
    <t>maint</t>
  </si>
  <si>
    <t>Instituto Colombiano Para La Evaluacion De La Educacion ICFES</t>
  </si>
  <si>
    <t>FUC</t>
  </si>
  <si>
    <t>Fundación Universitaria Compensar</t>
  </si>
  <si>
    <t>Superintendencia de Industria y Comercio</t>
  </si>
  <si>
    <t>superindustria</t>
  </si>
  <si>
    <t>DIP</t>
  </si>
  <si>
    <t>Ponal DIPOL</t>
  </si>
  <si>
    <t>ponaldipol</t>
  </si>
  <si>
    <t>CAC</t>
  </si>
  <si>
    <t>Cuenta Alto Costo</t>
  </si>
  <si>
    <t>cac</t>
  </si>
  <si>
    <t>FNG</t>
  </si>
  <si>
    <t>Fondo Nacional De Garantías</t>
  </si>
  <si>
    <t>fng</t>
  </si>
  <si>
    <t>EMC</t>
  </si>
  <si>
    <t>Emcali</t>
  </si>
  <si>
    <t>emcali</t>
  </si>
  <si>
    <t>JPMP - Justicia Penal Militar y Policial</t>
  </si>
  <si>
    <t>jpmp</t>
  </si>
  <si>
    <t>TDS</t>
  </si>
  <si>
    <t>TDSynnex</t>
  </si>
  <si>
    <t>td</t>
  </si>
  <si>
    <t>Alcaldia de Cali</t>
  </si>
  <si>
    <t>acali</t>
  </si>
  <si>
    <t>Agata Data</t>
  </si>
  <si>
    <t>INC</t>
  </si>
  <si>
    <t>Instituto Nacional de Cancerología</t>
  </si>
  <si>
    <t>AWS</t>
  </si>
  <si>
    <t>AWS Colombia</t>
  </si>
  <si>
    <t>CNJ</t>
  </si>
  <si>
    <t>Consejo Nacional de la Judicatura</t>
  </si>
  <si>
    <t>Unidad Administrativa Especial de Catastro Distrital</t>
  </si>
  <si>
    <t>TCF</t>
  </si>
  <si>
    <t>Ticket Fast - Tuboleta</t>
  </si>
  <si>
    <t>Tuboleta</t>
  </si>
  <si>
    <t>RLG</t>
  </si>
  <si>
    <t>Red Logística y Gestión SAS</t>
  </si>
  <si>
    <t>FA</t>
  </si>
  <si>
    <t>Muttu</t>
  </si>
  <si>
    <t>Financiera de Desarrollo Nacional</t>
  </si>
  <si>
    <t>Banco de Desarrollo Empresarial de Colombia</t>
  </si>
  <si>
    <t>Universidad EAFIT - Escuela de Administración, Finanzas e Instituto Tecnológico</t>
  </si>
  <si>
    <t>EAFIT</t>
  </si>
  <si>
    <t>Hábitat</t>
  </si>
  <si>
    <t>Empresa De Transporte Masivo Del Valle De Aburrá Limitada</t>
  </si>
  <si>
    <t>La Administradora de los Recursos del Sistema General de Seguridad Social en Salud</t>
  </si>
  <si>
    <t>ADRES</t>
  </si>
  <si>
    <t>Mederi</t>
  </si>
  <si>
    <t>MEDERI</t>
  </si>
  <si>
    <t>PGS</t>
  </si>
  <si>
    <t>MCT</t>
  </si>
  <si>
    <t>Ministerio de Ciencia Tecnología e Innovación</t>
  </si>
  <si>
    <t>Minciencias</t>
  </si>
  <si>
    <t>sedbogota</t>
  </si>
  <si>
    <t>MVC</t>
  </si>
  <si>
    <t>Ministerio de Vivienda, Ciudad y Territorio</t>
  </si>
  <si>
    <t>minvivienda</t>
  </si>
  <si>
    <t>PGN</t>
  </si>
  <si>
    <t>Procuraduria General de la Nacion</t>
  </si>
  <si>
    <t>Procuraduria</t>
  </si>
  <si>
    <t>geograficomilitar</t>
  </si>
  <si>
    <t>Superintendencia Servicios Públicos Domiciliarios</t>
  </si>
  <si>
    <t>SDP</t>
  </si>
  <si>
    <t>Secretaria Distrital de Planeación - Bogotá</t>
  </si>
  <si>
    <t>Planeación</t>
  </si>
  <si>
    <t>Administradora Colombiana de Pensiones</t>
  </si>
  <si>
    <t>Mineducacion</t>
  </si>
  <si>
    <t>USabana</t>
  </si>
  <si>
    <t>Cod Proyecto</t>
  </si>
  <si>
    <t>Sigla Cliente</t>
  </si>
  <si>
    <t>Estado</t>
  </si>
  <si>
    <t>P0001</t>
  </si>
  <si>
    <t>NUV</t>
  </si>
  <si>
    <t>Nuvu</t>
  </si>
  <si>
    <t>P0002</t>
  </si>
  <si>
    <t>P0003</t>
  </si>
  <si>
    <t>P0004</t>
  </si>
  <si>
    <t>P0005</t>
  </si>
  <si>
    <t>P0006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</si>
  <si>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</si>
  <si>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</si>
  <si>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</si>
  <si>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</si>
  <si>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</si>
  <si>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</si>
  <si>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</si>
  <si>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</si>
  <si>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</si>
  <si>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</si>
  <si>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</si>
  <si>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</si>
  <si>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</si>
  <si>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</si>
  <si>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</si>
  <si>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</si>
  <si>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</si>
  <si>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</si>
  <si>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</si>
  <si>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</si>
  <si>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</si>
  <si>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</si>
  <si>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</si>
  <si>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</si>
  <si>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</si>
  <si>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</si>
  <si>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</si>
  <si>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</si>
  <si>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</si>
  <si>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</si>
  <si>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</si>
  <si>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</si>
  <si>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</si>
  <si>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</si>
  <si>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</si>
  <si>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</si>
  <si>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</si>
  <si>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</si>
  <si>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</si>
  <si>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</si>
  <si>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</si>
  <si>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</si>
  <si>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</si>
  <si>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</si>
  <si>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</si>
  <si>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</si>
  <si>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</si>
  <si>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</si>
  <si>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</si>
  <si>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</si>
  <si>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</si>
  <si>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</si>
  <si>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</si>
  <si>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P0071</t>
  </si>
  <si>
    <t>P0072</t>
  </si>
  <si>
    <t>P0073</t>
  </si>
  <si>
    <t>P0074</t>
  </si>
  <si>
    <t>P0076</t>
  </si>
  <si>
    <t>P0077</t>
  </si>
  <si>
    <t>P0078</t>
  </si>
  <si>
    <t>P0079</t>
  </si>
  <si>
    <t>P0080</t>
  </si>
  <si>
    <t>P0081</t>
  </si>
  <si>
    <t>P0082</t>
  </si>
  <si>
    <t>P0084</t>
  </si>
  <si>
    <t>P0085</t>
  </si>
  <si>
    <t>P0086</t>
  </si>
  <si>
    <t>P0087</t>
  </si>
  <si>
    <t>P0088</t>
  </si>
  <si>
    <t>P0090</t>
  </si>
  <si>
    <t>P0091</t>
  </si>
  <si>
    <t>P0092</t>
  </si>
  <si>
    <t>P0093</t>
  </si>
  <si>
    <t>P0095</t>
  </si>
  <si>
    <t>P0098</t>
  </si>
  <si>
    <t>P0099</t>
  </si>
  <si>
    <t>P0100</t>
  </si>
  <si>
    <t>P0102</t>
  </si>
  <si>
    <t>P0103</t>
  </si>
  <si>
    <t>P0107</t>
  </si>
  <si>
    <t>P0108</t>
  </si>
  <si>
    <t>P0109</t>
  </si>
  <si>
    <t>P0110</t>
  </si>
  <si>
    <t>P0111</t>
  </si>
  <si>
    <t>P0112</t>
  </si>
  <si>
    <t>P0114</t>
  </si>
  <si>
    <t>P0115</t>
  </si>
  <si>
    <t>P0116</t>
  </si>
  <si>
    <t>P0117</t>
  </si>
  <si>
    <t>P0118</t>
  </si>
  <si>
    <t>P0119</t>
  </si>
  <si>
    <t>P0121</t>
  </si>
  <si>
    <t>P0132</t>
  </si>
  <si>
    <t>P0133</t>
  </si>
  <si>
    <t>P0135</t>
  </si>
  <si>
    <t>P0136</t>
  </si>
  <si>
    <t>P0137</t>
  </si>
  <si>
    <t>P0138</t>
  </si>
  <si>
    <t>P0145</t>
  </si>
  <si>
    <t>P0146</t>
  </si>
  <si>
    <t>P0147</t>
  </si>
  <si>
    <t>P0148</t>
  </si>
  <si>
    <t>P0149</t>
  </si>
  <si>
    <t>P0150</t>
  </si>
  <si>
    <t>P0151</t>
  </si>
  <si>
    <t>P0154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</si>
  <si>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</si>
  <si>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</si>
  <si>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</si>
  <si>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</si>
  <si>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</si>
  <si>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</si>
  <si>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</si>
  <si>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</si>
  <si>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</si>
  <si>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</si>
  <si>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</si>
  <si>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</si>
  <si>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</si>
  <si>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</si>
  <si>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</si>
  <si>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</si>
  <si>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</si>
  <si>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</si>
  <si>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</si>
  <si>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</si>
  <si>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</si>
  <si>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</si>
  <si>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</si>
  <si>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</si>
  <si>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</si>
  <si>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</si>
  <si>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</si>
  <si>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</si>
  <si>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</si>
  <si>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</si>
  <si>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</si>
  <si>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</si>
  <si>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</si>
  <si>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</si>
  <si>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P0196</t>
  </si>
  <si>
    <t>P0197</t>
  </si>
  <si>
    <t>P0198</t>
  </si>
  <si>
    <t>P0199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</si>
  <si>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</si>
  <si>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</si>
  <si>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</si>
  <si>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</si>
  <si>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</si>
  <si>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</si>
  <si>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</si>
  <si>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</si>
  <si>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</si>
  <si>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</si>
  <si>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P0216</t>
  </si>
  <si>
    <t>P0218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</si>
  <si>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</si>
  <si>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</si>
  <si>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</si>
  <si>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</si>
  <si>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</si>
  <si>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</si>
  <si>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</si>
  <si>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</si>
  <si>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</si>
  <si>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</si>
  <si>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</si>
  <si>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</si>
  <si>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</si>
  <si>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</si>
  <si>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P0237</t>
  </si>
  <si>
    <t>P0238</t>
  </si>
  <si>
    <t>P0239</t>
  </si>
  <si>
    <t>P0240</t>
  </si>
  <si>
    <t>P0241</t>
  </si>
  <si>
    <t>P0242</t>
  </si>
  <si>
    <t>P0245</t>
  </si>
  <si>
    <t>P0246</t>
  </si>
  <si>
    <t>P0247</t>
  </si>
  <si>
    <t>P0248</t>
  </si>
  <si>
    <t>P0249</t>
  </si>
  <si>
    <t>P0250</t>
  </si>
  <si>
    <t>P0252</t>
  </si>
  <si>
    <t>P0254</t>
  </si>
  <si>
    <t>P0256</t>
  </si>
  <si>
    <t>P0257</t>
  </si>
  <si>
    <t>P0258</t>
  </si>
  <si>
    <t>P0259</t>
  </si>
  <si>
    <t>P0261</t>
  </si>
  <si>
    <t>P0262</t>
  </si>
  <si>
    <t>P0263</t>
  </si>
  <si>
    <t>P0264</t>
  </si>
  <si>
    <t>P0267</t>
  </si>
  <si>
    <t>P0268</t>
  </si>
  <si>
    <t>P0270</t>
  </si>
  <si>
    <t>P0271</t>
  </si>
  <si>
    <t>P0273</t>
  </si>
  <si>
    <t>P0274</t>
  </si>
  <si>
    <t>P0275</t>
  </si>
  <si>
    <t>P0276</t>
  </si>
  <si>
    <t>P0277</t>
  </si>
  <si>
    <t>P0279</t>
  </si>
  <si>
    <t>P0284</t>
  </si>
  <si>
    <t>P0285</t>
  </si>
  <si>
    <t>P0286</t>
  </si>
  <si>
    <t>P0295</t>
  </si>
  <si>
    <t>P0310</t>
  </si>
  <si>
    <t>P0313</t>
  </si>
  <si>
    <t>P0314</t>
  </si>
  <si>
    <t>P0345</t>
  </si>
  <si>
    <t>P0288</t>
  </si>
  <si>
    <t>Created Date</t>
  </si>
  <si>
    <t>HubSpot Deal ID</t>
  </si>
  <si>
    <t>NetSuite Project ID</t>
  </si>
  <si>
    <t>Codigo OpenAir Internos</t>
  </si>
  <si>
    <t>Client</t>
  </si>
  <si>
    <t>Project</t>
  </si>
  <si>
    <t>Project Subsidiary</t>
  </si>
  <si>
    <t>Project owner</t>
  </si>
  <si>
    <t>Project stage</t>
  </si>
  <si>
    <t>Allow time entry</t>
  </si>
  <si>
    <t>Engagement Type</t>
  </si>
  <si>
    <t>Budget (money)</t>
  </si>
  <si>
    <t>Start Date</t>
  </si>
  <si>
    <t>SOW End Date</t>
  </si>
  <si>
    <t>Expected End Date</t>
  </si>
  <si>
    <t>Planned</t>
  </si>
  <si>
    <t>Worked</t>
  </si>
  <si>
    <t>Approved</t>
  </si>
  <si>
    <t>Timesheets approver</t>
  </si>
  <si>
    <t>% Complete</t>
  </si>
  <si>
    <t>Active</t>
  </si>
  <si>
    <t>Portfolio Leader</t>
  </si>
  <si>
    <t>########</t>
  </si>
  <si>
    <t>Blend360: DSX Internal</t>
  </si>
  <si>
    <t>All-Star</t>
  </si>
  <si>
    <t>Blend360, LLC</t>
  </si>
  <si>
    <t>Admin, OA</t>
  </si>
  <si>
    <t>Yes</t>
  </si>
  <si>
    <t>Other</t>
  </si>
  <si>
    <t>0.00 USD</t>
  </si>
  <si>
    <t>[Self approver]</t>
  </si>
  <si>
    <t>PORTFOLIO LEADER, OTHER [Inactive]</t>
  </si>
  <si>
    <t>B360 Materials Development</t>
  </si>
  <si>
    <t>Business Development - New Logo</t>
  </si>
  <si>
    <t>Business Systems Development &amp; Support</t>
  </si>
  <si>
    <t>COE - Center of Excellence (CLOSED)</t>
  </si>
  <si>
    <t>No</t>
  </si>
  <si>
    <t>Cloud Platform Upkeep/Enhancement</t>
  </si>
  <si>
    <t>Non-Funded 03</t>
  </si>
  <si>
    <t>COE - Advanced ML Algo Adaption</t>
  </si>
  <si>
    <t>JIA, FENG</t>
  </si>
  <si>
    <t>Non-Funded 04</t>
  </si>
  <si>
    <t>COE - BI Product management</t>
  </si>
  <si>
    <t>RAGHAVAN, SRINIVAS</t>
  </si>
  <si>
    <t>Non-Funded 05</t>
  </si>
  <si>
    <t>COE - ML Deployment and Ops</t>
  </si>
  <si>
    <t>Non-Funded 06</t>
  </si>
  <si>
    <t>COE - Optimization and prescriptive analytics</t>
  </si>
  <si>
    <t>Non-Funded 07</t>
  </si>
  <si>
    <t>Data Practice Ops</t>
  </si>
  <si>
    <t>BERRY, ZACHARY</t>
  </si>
  <si>
    <t>Non-Funded 08</t>
  </si>
  <si>
    <t>Data Practice Support</t>
  </si>
  <si>
    <t>Events</t>
  </si>
  <si>
    <t>Internal Development</t>
  </si>
  <si>
    <t>Marketing</t>
  </si>
  <si>
    <t>Meetings (Non-Client)</t>
  </si>
  <si>
    <t>Non-Client Work</t>
  </si>
  <si>
    <t>Performance Reviews</t>
  </si>
  <si>
    <t>Platform Support &amp; Enhancement</t>
  </si>
  <si>
    <t>Recruiting</t>
  </si>
  <si>
    <t>Time Off</t>
  </si>
  <si>
    <t>Training / Career Development</t>
  </si>
  <si>
    <t>P0096</t>
  </si>
  <si>
    <t>Travel</t>
  </si>
  <si>
    <t>12345 - TEST - DELETE ME</t>
  </si>
  <si>
    <t>P0097</t>
  </si>
  <si>
    <t>Volunteer Work</t>
  </si>
  <si>
    <t>Data Development</t>
  </si>
  <si>
    <t>NetSuite ERP/OpenAir Implementation</t>
  </si>
  <si>
    <t>LI, CJ</t>
  </si>
  <si>
    <t>Non-Funded 11</t>
  </si>
  <si>
    <t>Measurement Library</t>
  </si>
  <si>
    <t>NUERNBERGER, SCOTT</t>
  </si>
  <si>
    <t xml:space="preserve">                                                   </t>
  </si>
  <si>
    <t>Blend Academy Taskforce</t>
  </si>
  <si>
    <t>ROBERTS, SARA</t>
  </si>
  <si>
    <t>Non-Funded 01</t>
  </si>
  <si>
    <t>P0464</t>
  </si>
  <si>
    <t>All-Star Program Capability Leadership</t>
  </si>
  <si>
    <t>4P085</t>
  </si>
  <si>
    <t>Promotions &amp; Innovations</t>
  </si>
  <si>
    <t>COURBOIS, PIP</t>
  </si>
  <si>
    <t>Non-Funded 09</t>
  </si>
  <si>
    <t>P0496</t>
  </si>
  <si>
    <t>Data Science Offerings 2023</t>
  </si>
  <si>
    <t>Non-Funded 12</t>
  </si>
  <si>
    <t>P0586</t>
  </si>
  <si>
    <t>Tech Go Big</t>
  </si>
  <si>
    <t>FULLER, ROB</t>
  </si>
  <si>
    <t>Non-Funded 02</t>
  </si>
  <si>
    <t>P0601</t>
  </si>
  <si>
    <t>AME Measurement Accelerator</t>
  </si>
  <si>
    <t>FORAN, JOE</t>
  </si>
  <si>
    <t>P0617</t>
  </si>
  <si>
    <t>Blend360 Intranet Project</t>
  </si>
  <si>
    <t>PORTFOLIO LEADER, OTHER</t>
  </si>
  <si>
    <t>P0628</t>
  </si>
  <si>
    <t>US DSX HubSpot Implementation</t>
  </si>
  <si>
    <t>BISKUP, TIM</t>
  </si>
  <si>
    <t>P0636</t>
  </si>
  <si>
    <t>Accelerator – BlendGPT</t>
  </si>
  <si>
    <t>CHIPMAN, BO</t>
  </si>
  <si>
    <t>Non-Funded 10</t>
  </si>
  <si>
    <t>P0649</t>
  </si>
  <si>
    <t>DSX Management Dashboard</t>
  </si>
  <si>
    <t>CHEN, PETE</t>
  </si>
  <si>
    <t>P0676</t>
  </si>
  <si>
    <t>DSX US Smartrecruiter Reporting Conversion</t>
  </si>
  <si>
    <t>0.00 EUR</t>
  </si>
  <si>
    <t>0.00 UYU</t>
  </si>
  <si>
    <t>Equipo de Soporte</t>
  </si>
  <si>
    <t>Sin Asignar</t>
  </si>
  <si>
    <t>Cristian.Angel</t>
  </si>
  <si>
    <t>(Multiple Items)</t>
  </si>
  <si>
    <t>Grand Total</t>
  </si>
  <si>
    <t>Columna1</t>
  </si>
  <si>
    <t>Contrato UBO - Operación Cloud - Cloud</t>
  </si>
  <si>
    <t>Contrato DIA - Aprovisionamiento multinube - Lote 3 - Cloud</t>
  </si>
  <si>
    <t>Contrato JPM - Cloud Managed Services 2023-25 - Ret</t>
  </si>
  <si>
    <t>Contrato JPM - Cloud Managed Services 2023-25 - Cloud</t>
  </si>
  <si>
    <t>#N/A</t>
  </si>
  <si>
    <t>Contrato CCC - IaaS para DRP - Cloud</t>
  </si>
  <si>
    <t>Contrato UNA - Regalías Sikie - Cloud</t>
  </si>
  <si>
    <t>P0278</t>
  </si>
  <si>
    <t>Contrato UNA - Regalías Sikie - Ret</t>
  </si>
  <si>
    <t>Contrato UNA - Fortinet - Fixed</t>
  </si>
  <si>
    <t>Contrato UNA - Fortinet - Cloud</t>
  </si>
  <si>
    <t>Contrato CJU - Sistema integrado de Secretaría Técnica - Fixed</t>
  </si>
  <si>
    <t>Contrato CJU - Sistema integrado de Secretaría Técnica - Ret SW</t>
  </si>
  <si>
    <t>Contrato FDN - Servicios profesionales Arquitectura - Fixed</t>
  </si>
  <si>
    <t>#VALUE!</t>
  </si>
  <si>
    <t>Contrato UNA - Gestión de Información - Cloud</t>
  </si>
  <si>
    <t>Contrato UNA - Facultad de ingenieria - Ret</t>
  </si>
  <si>
    <t>Contrato UNA - Facultad de ingenieria - Cloud</t>
  </si>
  <si>
    <t>Contrato BID - Development as a Service - Ret</t>
  </si>
  <si>
    <t>Contrato BID - Development as a Service - Cloud</t>
  </si>
  <si>
    <t>Contrato BID - Development as a Service - Ret SW</t>
  </si>
  <si>
    <t>Contrato FDN - Servicios de arquitectura - Cloud</t>
  </si>
  <si>
    <t>Contrato UNA - Soporte y Mtto Quipu 2025 - Ret</t>
  </si>
  <si>
    <t>Contrato PON - IAPOL-G - IA Generative - Fixed</t>
  </si>
  <si>
    <t>Contrato PON - IAPOL-G - IA Generative - Ret SW</t>
  </si>
  <si>
    <t>Contrato PON - IAPOL-G - IA Generative - Cloud</t>
  </si>
  <si>
    <t>Contrato PON - IAPOL-G - IA Generative - Ret</t>
  </si>
  <si>
    <t>Contrato FOA - Evolución Integral Mojana - Ret SW</t>
  </si>
  <si>
    <t>Contrato FOA - Evolución Integral Mojana - Ret Other Vendors</t>
  </si>
  <si>
    <t>Contrato UNA - Facultad de Derecho concurso méritos - Cloud</t>
  </si>
  <si>
    <t>Contrato UNA - Facultad de Derecho concurso méritos - Ret</t>
  </si>
  <si>
    <t>Contrato UNA - OSE 26 Admisiones - Cloud</t>
  </si>
  <si>
    <t>Contrato UNA - OSE 43 Moodle Extensión - Cloud</t>
  </si>
  <si>
    <t>Contrato UNA - OSE 43 Moodle Extensión - Ret</t>
  </si>
  <si>
    <t>Contrato UNA - Dinara de UNAL - Ret</t>
  </si>
  <si>
    <t>Contrato UNA - Dinara de UNAL - Cloud</t>
  </si>
  <si>
    <t>Contrato UNA - Facultad de Derecho - Cloud</t>
  </si>
  <si>
    <t>Contrato UNA - Facultad de Derecho - Ret</t>
  </si>
  <si>
    <t>Contrato CJU - Vigilancia y MET Plus - Ret SW</t>
  </si>
  <si>
    <t>Super servicios</t>
  </si>
  <si>
    <t>Contrato CAT - Agente Cognitivo e Infraestructura AWS - Ret</t>
  </si>
  <si>
    <t>Contrato PRO - SmartCash - Operación - Ret</t>
  </si>
  <si>
    <t>Contrato UNA- OSE 3 Secretaría General Fixed</t>
  </si>
  <si>
    <t>Contrato UNA- OSE 3 Secretaría General Cloud</t>
  </si>
  <si>
    <t>Contrato SDH - Datalake Secretaria del Hábitat - Cloud</t>
  </si>
  <si>
    <t>Contrato SDH - Datalake Secretaria del Hábitat - Ret</t>
  </si>
  <si>
    <t xml:space="preserve">Contrato SED- Automatización procesos seguros, adquisiciones y accidentes - Ret </t>
  </si>
  <si>
    <t>Contrato SED- Automatización procesos seguros, adquisiciones y accidentes - Ret SW</t>
  </si>
  <si>
    <t>Contrato SED- Automatización procesos seguros, adquisiciones y accidentes - Cloud</t>
  </si>
  <si>
    <t>Contrato CO - ADRES - AI Medical Audit Phase 1 - Ret Sw</t>
  </si>
  <si>
    <t>Contrato CO - ADRES - AI Medical Audit Phase 1 - Other Vendors</t>
  </si>
  <si>
    <t>Contrato ICF - Datalake</t>
  </si>
  <si>
    <t>Contrato UDS - Servicios Profesionales - Fixed</t>
  </si>
  <si>
    <t>Contrato CO - Universidad Nacional- Fortinet - Cloud</t>
  </si>
  <si>
    <t>Contrato CO - Universidad Nacional- Fortinet - Ret</t>
  </si>
  <si>
    <t>Contrato CJU - Secretaria Tecnica Renovacion Ret</t>
  </si>
  <si>
    <t>Contrato CJU - Secretaria Tecnica Renovacion Ret SW</t>
  </si>
  <si>
    <t>Contrato CO-Supersociedades Renewal</t>
  </si>
  <si>
    <t>Contrato CO - Fiduagraria- Renovacion Quicksight 2026 - Cloud</t>
  </si>
  <si>
    <t>P2426</t>
  </si>
  <si>
    <t>BLD - All-Start Program LATAM</t>
  </si>
  <si>
    <t>Contrato SEP - Secretaria de Planeacion - SIPU - Operation - Ret SW</t>
  </si>
  <si>
    <t>Contrato CO - Superservicios renovacion observatorio de datos- Ret</t>
  </si>
  <si>
    <t xml:space="preserve">Juan Bernal </t>
  </si>
  <si>
    <t>.</t>
  </si>
  <si>
    <t>(All)</t>
  </si>
  <si>
    <t>Count of Project Name Full</t>
  </si>
  <si>
    <t>(blank)</t>
  </si>
  <si>
    <t>DIA - Back Ups - Fixed</t>
  </si>
  <si>
    <t>UNA - Fortinet - Fixed</t>
  </si>
  <si>
    <t>FDN - Servicios profesionales Arquitectura - Fixed</t>
  </si>
  <si>
    <t>MMN - Cloud Sistema de Recaudo - Fixed</t>
  </si>
  <si>
    <t>UNA - Gestión de Información - Fixed</t>
  </si>
  <si>
    <t>BID - Development as a Service - Fixed</t>
  </si>
  <si>
    <t>PON - IAPOL-G - IA Generative - Fixed</t>
  </si>
  <si>
    <t>FOA - Evolución Integral Mojana - Fixed</t>
  </si>
  <si>
    <t>CJU - Vigilancia y MET Plus - Fixed</t>
  </si>
  <si>
    <t>UNA - Ofc Gestion Ambiental - Fixed</t>
  </si>
  <si>
    <t>CAT - Agente Cognitivo e Infraestructura AWS - Fixed</t>
  </si>
  <si>
    <t>CSJ - Digitalización archivo físico Fase II - Fixed</t>
  </si>
  <si>
    <t>ACA - Fase III DataCali - Fixed</t>
  </si>
  <si>
    <t>ACA - Hacienda a un Click - Fixed</t>
  </si>
  <si>
    <t>UDS - Servicios Profesionales - 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</si>
</sst>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u/>
      <sz val="10"/>
      <color theme="10"/>
      <name val="Arial"/>
      <family val="2"/>
      <scheme val="minor"/>
    </font>
    <font>
      <sz val="8"/>
      <name val="Arial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u/>
      <sz val="10"/>
      <color theme="10"/>
      <name val="Arial"/>
      <family val="2"/>
    </font>
    <font>
      <u/>
      <sz val="10"/>
      <color rgb="FF000000"/>
      <name val="Arial"/>
      <family val="2"/>
    </font>
    <font>
      <sz val="10"/>
      <color rgb="FF00EDED"/>
      <name val="Arial"/>
      <family val="2"/>
      <scheme val="minor"/>
    </font>
    <font>
      <sz val="11"/>
      <color rgb="FF000000"/>
      <name val="Aptos Narrow"/>
      <family val="2"/>
    </font>
    <font>
      <sz val="11"/>
      <color rgb="FF242424"/>
      <name val="Aptos Narrow"/>
      <family val="2"/>
    </font>
    <font>
      <sz val="9"/>
      <color rgb="FF000000"/>
      <name val="Arial"/>
      <family val="2"/>
      <scheme val="minor"/>
    </font>
    <font>
      <b/>
      <sz val="8"/>
      <color rgb="FFFFFFFF"/>
      <name val="Arial"/>
      <family val="2"/>
      <scheme val="minor"/>
    </font>
    <font>
      <sz val="8"/>
      <color rgb="FF000000"/>
      <name val="Arial"/>
      <family val="2"/>
      <scheme val="minor"/>
    </font>
    <font>
      <sz val="8"/>
      <color rgb="FF000000"/>
      <name val="Arial"/>
      <family val="2"/>
    </font>
    <font>
      <u/>
      <sz val="10"/>
      <color theme="10"/>
      <name val="Arial"/>
      <scheme val="minor"/>
    </font>
    <font>
      <sz val="12"/>
      <color rgb="FF000000"/>
      <name val="Aptos"/>
      <charset val="1"/>
    </font>
    <font>
      <sz val="10"/>
      <color rgb="FFFF0000"/>
      <name val="Arial"/>
      <family val="2"/>
    </font>
    <font>
      <u/>
      <sz val="11"/>
      <color rgb="FF467886"/>
      <name val="Aptos Narrow"/>
      <family val="2"/>
    </font>
    <font>
      <u/>
      <sz val="11"/>
      <color theme="10"/>
      <name val="Arial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1C4587"/>
        <bgColor rgb="FF1C4587"/>
      </patternFill>
    </fill>
    <fill>
      <patternFill patternType="solid">
        <fgColor rgb="FFFF9900"/>
        <bgColor rgb="FFFF9900"/>
      </patternFill>
    </fill>
    <fill>
      <patternFill patternType="solid">
        <fgColor rgb="FFCCCCCC"/>
        <bgColor rgb="FFCCCCCC"/>
      </patternFill>
    </fill>
    <fill>
      <patternFill patternType="solid">
        <fgColor rgb="FF053158"/>
        <bgColor indexed="64"/>
      </patternFill>
    </fill>
    <fill>
      <patternFill patternType="solid">
        <fgColor rgb="FF1C4587"/>
        <bgColor rgb="FF000000"/>
      </patternFill>
    </fill>
    <fill>
      <patternFill patternType="solid">
        <fgColor rgb="FFFF9900"/>
        <bgColor rgb="FF000000"/>
      </patternFill>
    </fill>
    <fill>
      <patternFill patternType="solid">
        <fgColor rgb="FFFCE8B2"/>
        <bgColor rgb="FF000000"/>
      </patternFill>
    </fill>
    <fill>
      <patternFill patternType="solid">
        <fgColor rgb="FFC9DAF8"/>
        <bgColor rgb="FF000000"/>
      </patternFill>
    </fill>
    <fill>
      <patternFill patternType="solid">
        <fgColor rgb="FFB7B7B7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E4F5"/>
        <bgColor rgb="FFC0E4F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43AEE2"/>
      </bottom>
      <diagonal/>
    </border>
    <border>
      <left/>
      <right style="thin">
        <color rgb="FF43AEE2"/>
      </right>
      <top style="thin">
        <color rgb="FF43AEE2"/>
      </top>
      <bottom style="thin">
        <color rgb="FF43AEE2"/>
      </bottom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76">
    <xf numFmtId="0" fontId="0" fillId="0" borderId="0" xfId="0"/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9" fillId="0" borderId="0" xfId="1" applyFont="1" applyFill="1" applyAlignment="1">
      <alignment vertical="center"/>
    </xf>
    <xf numFmtId="0" fontId="2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9" fillId="0" borderId="0" xfId="1" applyFont="1" applyAlignment="1">
      <alignment vertical="center"/>
    </xf>
    <xf numFmtId="0" fontId="9" fillId="0" borderId="0" xfId="1" applyFont="1" applyAlignment="1">
      <alignment vertical="center" wrapText="1"/>
    </xf>
    <xf numFmtId="0" fontId="9" fillId="0" borderId="0" xfId="1" applyFont="1" applyBorder="1" applyAlignment="1">
      <alignment vertical="center" readingOrder="1"/>
    </xf>
    <xf numFmtId="0" fontId="9" fillId="0" borderId="0" xfId="1" applyFont="1" applyFill="1" applyBorder="1" applyAlignment="1">
      <alignment vertical="center"/>
    </xf>
    <xf numFmtId="0" fontId="3" fillId="0" borderId="0" xfId="1" applyFont="1" applyAlignment="1">
      <alignment vertical="center" wrapText="1"/>
    </xf>
    <xf numFmtId="0" fontId="3" fillId="0" borderId="0" xfId="1" applyFont="1"/>
    <xf numFmtId="0" fontId="11" fillId="5" borderId="0" xfId="0" applyFont="1" applyFill="1"/>
    <xf numFmtId="0" fontId="5" fillId="2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12" fillId="0" borderId="0" xfId="0" applyFont="1"/>
    <xf numFmtId="4" fontId="12" fillId="0" borderId="0" xfId="0" applyNumberFormat="1" applyFont="1"/>
    <xf numFmtId="14" fontId="12" fillId="0" borderId="0" xfId="0" applyNumberFormat="1" applyFont="1"/>
    <xf numFmtId="0" fontId="3" fillId="0" borderId="0" xfId="1" applyFont="1" applyAlignment="1">
      <alignment vertical="center"/>
    </xf>
    <xf numFmtId="0" fontId="13" fillId="0" borderId="0" xfId="0" applyFont="1"/>
    <xf numFmtId="0" fontId="14" fillId="0" borderId="0" xfId="0" applyFont="1"/>
    <xf numFmtId="0" fontId="15" fillId="6" borderId="1" xfId="0" applyFont="1" applyFill="1" applyBorder="1" applyAlignment="1">
      <alignment wrapText="1"/>
    </xf>
    <xf numFmtId="0" fontId="15" fillId="7" borderId="1" xfId="0" applyFont="1" applyFill="1" applyBorder="1" applyAlignment="1">
      <alignment wrapText="1"/>
    </xf>
    <xf numFmtId="0" fontId="16" fillId="0" borderId="1" xfId="0" applyFont="1" applyBorder="1" applyAlignment="1">
      <alignment wrapText="1"/>
    </xf>
    <xf numFmtId="0" fontId="16" fillId="8" borderId="1" xfId="0" applyFont="1" applyFill="1" applyBorder="1" applyAlignment="1">
      <alignment wrapText="1"/>
    </xf>
    <xf numFmtId="0" fontId="16" fillId="9" borderId="1" xfId="0" applyFont="1" applyFill="1" applyBorder="1" applyAlignment="1">
      <alignment wrapText="1"/>
    </xf>
    <xf numFmtId="0" fontId="16" fillId="10" borderId="1" xfId="0" applyFont="1" applyFill="1" applyBorder="1" applyAlignment="1">
      <alignment wrapText="1"/>
    </xf>
    <xf numFmtId="0" fontId="17" fillId="0" borderId="1" xfId="0" applyFont="1" applyBorder="1"/>
    <xf numFmtId="0" fontId="16" fillId="0" borderId="2" xfId="0" applyFont="1" applyBorder="1" applyAlignment="1">
      <alignment wrapText="1"/>
    </xf>
    <xf numFmtId="0" fontId="17" fillId="0" borderId="2" xfId="0" applyFont="1" applyBorder="1"/>
    <xf numFmtId="0" fontId="16" fillId="8" borderId="2" xfId="0" applyFont="1" applyFill="1" applyBorder="1" applyAlignment="1">
      <alignment wrapText="1"/>
    </xf>
    <xf numFmtId="0" fontId="3" fillId="0" borderId="0" xfId="1" applyFont="1" applyFill="1" applyAlignment="1">
      <alignment vertical="center"/>
    </xf>
    <xf numFmtId="0" fontId="0" fillId="0" borderId="0" xfId="0" pivotButton="1"/>
    <xf numFmtId="0" fontId="2" fillId="12" borderId="0" xfId="0" applyFont="1" applyFill="1" applyAlignment="1">
      <alignment vertical="center"/>
    </xf>
    <xf numFmtId="0" fontId="18" fillId="0" borderId="0" xfId="1"/>
    <xf numFmtId="0" fontId="1" fillId="4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18" fillId="0" borderId="0" xfId="1" applyAlignment="1">
      <alignment vertical="center"/>
    </xf>
    <xf numFmtId="0" fontId="1" fillId="0" borderId="0" xfId="0" applyFont="1" applyAlignment="1">
      <alignment vertical="center" wrapText="1"/>
    </xf>
    <xf numFmtId="0" fontId="3" fillId="11" borderId="0" xfId="1" applyFont="1" applyFill="1" applyAlignment="1">
      <alignment vertical="center" wrapText="1"/>
    </xf>
    <xf numFmtId="0" fontId="3" fillId="0" borderId="0" xfId="1" applyFont="1" applyAlignment="1">
      <alignment wrapText="1"/>
    </xf>
    <xf numFmtId="0" fontId="18" fillId="0" borderId="0" xfId="1" applyFill="1" applyAlignment="1">
      <alignment vertical="center"/>
    </xf>
    <xf numFmtId="0" fontId="18" fillId="0" borderId="0" xfId="1" applyAlignment="1">
      <alignment vertical="center" wrapText="1"/>
    </xf>
    <xf numFmtId="0" fontId="20" fillId="0" borderId="0" xfId="0" applyFont="1" applyAlignment="1">
      <alignment vertical="center" wrapText="1"/>
    </xf>
    <xf numFmtId="0" fontId="9" fillId="0" borderId="0" xfId="1" applyFont="1" applyFill="1" applyAlignment="1">
      <alignment vertical="center" wrapText="1"/>
    </xf>
    <xf numFmtId="0" fontId="3" fillId="0" borderId="0" xfId="1" applyFont="1" applyFill="1"/>
    <xf numFmtId="0" fontId="1" fillId="13" borderId="0" xfId="0" applyFont="1" applyFill="1" applyAlignment="1">
      <alignment vertical="center"/>
    </xf>
    <xf numFmtId="0" fontId="6" fillId="0" borderId="0" xfId="0" applyFont="1" applyAlignment="1">
      <alignment vertical="center" readingOrder="1"/>
    </xf>
    <xf numFmtId="0" fontId="19" fillId="0" borderId="0" xfId="0" applyFont="1"/>
    <xf numFmtId="0" fontId="13" fillId="0" borderId="0" xfId="0" applyFont="1" applyAlignment="1">
      <alignment wrapText="1"/>
    </xf>
    <xf numFmtId="0" fontId="6" fillId="0" borderId="3" xfId="0" applyFont="1" applyBorder="1" applyAlignment="1">
      <alignment vertical="center"/>
    </xf>
    <xf numFmtId="0" fontId="6" fillId="0" borderId="0" xfId="1" applyFont="1" applyBorder="1" applyAlignment="1">
      <alignment vertical="center"/>
    </xf>
    <xf numFmtId="0" fontId="21" fillId="0" borderId="5" xfId="0" applyFont="1" applyBorder="1"/>
    <xf numFmtId="0" fontId="18" fillId="14" borderId="5" xfId="1" applyFill="1" applyBorder="1"/>
    <xf numFmtId="0" fontId="18" fillId="0" borderId="5" xfId="1" applyBorder="1"/>
    <xf numFmtId="0" fontId="21" fillId="14" borderId="5" xfId="0" applyFont="1" applyFill="1" applyBorder="1"/>
    <xf numFmtId="0" fontId="18" fillId="14" borderId="4" xfId="1" applyFill="1" applyBorder="1"/>
    <xf numFmtId="0" fontId="13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2" fillId="13" borderId="0" xfId="0" applyFont="1" applyFill="1" applyAlignment="1">
      <alignment vertical="center"/>
    </xf>
    <xf numFmtId="0" fontId="18" fillId="15" borderId="0" xfId="1" applyFill="1"/>
    <xf numFmtId="0" fontId="18" fillId="15" borderId="0" xfId="1" applyFill="1" applyAlignment="1">
      <alignment vertical="center"/>
    </xf>
    <xf numFmtId="0" fontId="6" fillId="15" borderId="0" xfId="0" applyFont="1" applyFill="1" applyAlignment="1">
      <alignment vertical="center"/>
    </xf>
    <xf numFmtId="0" fontId="6" fillId="16" borderId="0" xfId="0" applyFont="1" applyFill="1" applyAlignment="1">
      <alignment vertical="center"/>
    </xf>
    <xf numFmtId="0" fontId="22" fillId="0" borderId="0" xfId="1" applyFont="1" applyAlignment="1">
      <alignment vertical="center" wrapText="1"/>
    </xf>
  </cellXfs>
  <cellStyles count="2">
    <cellStyle name="Hipervínculo" xfId="1" builtinId="8"/>
    <cellStyle name="Normal" xfId="0" builtinId="0"/>
  </cellStyles>
  <dxfs count="3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theme="1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theme="1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theme="1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theme="1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1C4587"/>
          <bgColor rgb="FF1C4587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rgb="FFFF0000"/>
          <bgColor rgb="FFFF0000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fgColor rgb="FFEAD1DC"/>
          <bgColor rgb="FFEAD1DC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theme="1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theme="1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theme="1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theme="1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1C4587"/>
          <bgColor rgb="FF1C4587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rgb="FFFF0000"/>
          <bgColor rgb="FFFF0000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fgColor rgb="FFEAD1DC"/>
          <bgColor rgb="FFEAD1DC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00EDED"/>
      <color rgb="FF0531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er1" id="{CF6EA825-8FCC-4112-A94E-0F1D1ADD0701}">
    <nsvFilter filterId="{00000000-0001-0000-0000-000000000000}" ref="A1:Z284" tableId="1">
      <sortRules>
        <sortRule colId="1" id="{F872956B-D20A-4D92-8AC0-5827F4396A37}">
          <sortCondition ref="B1:B284"/>
        </sortRule>
      </sortRules>
    </nsvFilter>
  </namedSheetView>
  <namedSheetView name="yeison.martinez" id="{F4861CC8-20FB-421F-B646-AC952F2D69DD}"/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yeison.martinez" id="{238FB88B-2D3A-475C-840D-16B170E4CA54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Juan Fernando Garcia" id="{72D2B4BB-CA04-4491-86E6-B7C981D13E43}" userId="JuanFernando.Garcia@Blend360.com" providerId="PeoplePicker"/>
  <person displayName="Yohan Cadena" id="{615855C0-4B50-496D-9CAE-EFAC47BB1AB9}" userId="S::yohan.cadena@blend360.com::21e408d4-2417-487a-90dd-8b19cf89d718" providerId="AD"/>
  <person displayName="Alejandra Ardila" id="{A1E37011-9D46-4596-9D16-BA63D5CEEB22}" userId="S::alejandra.ardila@blend360.com::67686e49-d09f-421e-8ab5-37d930867c23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99.948234837961" createdVersion="8" refreshedVersion="8" minRefreshableVersion="3" recordCount="171" xr:uid="{721CCDDF-A363-4C1F-B500-79AB80E7A0BC}">
  <cacheSource type="worksheet">
    <worksheetSource ref="B1:S171" sheet="project"/>
  </cacheSource>
  <cacheFields count="18">
    <cacheField name="ID Old" numFmtId="0">
      <sharedItems/>
    </cacheField>
    <cacheField name="Project Name Full" numFmtId="0">
      <sharedItems/>
    </cacheField>
    <cacheField name="Objetivo" numFmtId="0">
      <sharedItems/>
    </cacheField>
    <cacheField name="Blend Project Type" numFmtId="0">
      <sharedItems/>
    </cacheField>
    <cacheField name="Sigla" numFmtId="0">
      <sharedItems containsBlank="1" count="39">
        <s v="BLD"/>
        <s v="BTG"/>
        <s v="ACA"/>
        <s v="AGA"/>
        <s v="AGR"/>
        <s v="UBO"/>
        <s v="DIA"/>
        <s v="JPM"/>
        <s v="BID"/>
        <s v="CAT"/>
        <s v="CCC"/>
        <s v="CSJ"/>
        <s v="UNA"/>
        <s v="CJU"/>
        <s v="EAF"/>
        <s v="FDN"/>
        <s v="FOA"/>
        <s v="GLO"/>
        <s v="ICF"/>
        <s v="MTC"/>
        <s v="SAN"/>
        <s v="SDH"/>
        <s v="SOC"/>
        <s v="UCA"/>
        <s v="MMN"/>
        <s v="SPD"/>
        <s v="WIT"/>
        <s v="SIC"/>
        <s v="PON"/>
        <s v="PRO"/>
        <s v="ADR"/>
        <s v="ACP"/>
        <s v="REN" u="1"/>
        <s v="MTU" u="1"/>
        <s v="BCX" u="1"/>
        <s v="MDR" u="1"/>
        <s v="BRE" u="1"/>
        <s v="CCB" u="1"/>
        <m u="1"/>
      </sharedItems>
    </cacheField>
    <cacheField name="Type Project" numFmtId="0">
      <sharedItems/>
    </cacheField>
    <cacheField name="Client Name" numFmtId="0">
      <sharedItems containsBlank="1" count="53">
        <s v="Blend360"/>
        <s v="BTG Pactual Colombia"/>
        <s v="BTG Pactual"/>
        <s v="Alcaldia de Cali"/>
        <s v="Agata Data"/>
        <s v="Fiduagraria"/>
        <s v="UBosque"/>
        <s v="DIAN"/>
        <s v="JPMP - Justicia Penal Militar y Policial"/>
        <s v="Banco Interamericano de Desarrollo"/>
        <s v="Unidad Administrativa Especial de Catastro Distrital"/>
        <s v="Cámara de Comercio de Cali"/>
        <s v="Consejo Superior de la Judicatura"/>
        <s v="Universidad Nacional de Colombia"/>
        <s v="Coljuegos"/>
        <s v="Universidad EAFIT - Escuela de Administración, Finanzas e Instituto Tecnológico"/>
        <s v="Financiera de Desarrollo Nacional"/>
        <s v="Fondo Adaptación"/>
        <s v="Global Securities"/>
        <s v="Instituto Colombiano Para La Evaluacion De La Educacion ICFES"/>
        <s v="MinTic"/>
        <s v="Sanidad"/>
        <s v="Secretaria Distrital del Hábitat"/>
        <s v="Superintendencia de Sociedades"/>
        <s v="Universidad de Caldas"/>
        <s v="Empresa De Transporte Masivo Del Valle De Aburrá Limitada"/>
        <s v="Superintendencia Servicios Públicos Domiciliarios"/>
        <s v="Witty"/>
        <s v="Superintendencia de Industria y Comercio"/>
        <s v="Policia Nacional"/>
        <s v="Progresión"/>
        <s v="La Administradora de los Recursos del Sistema General de Seguridad Social en Salud"/>
        <s v="Colpensiones"/>
        <s v="Super servicios" u="1"/>
        <s v="BTG" u="1"/>
        <s v="Superintendencia Industria" u="1"/>
        <s v="Rendara" u="1"/>
        <s v="Muttu" u="1"/>
        <s v="Banco de Desarrollo Empresarial de Colombia" u="1"/>
        <s v="Mederi" u="1"/>
        <s v="--" u="1"/>
        <s v="Banco de la República" u="1"/>
        <s v="Camara de Comercio de Bogotá" u="1"/>
        <s v="Icfes" u="1"/>
        <s v="Superintendencia de Servicios" u="1"/>
        <s v="Progresión SCB" u="1"/>
        <s v="Progresion" u="1"/>
        <s v="ADRES" u="1"/>
        <s v="Administradora Colombia de Pensiones - Colpensiones" u="1"/>
        <m u="1"/>
        <s v="Universidad Nacional - Activo" u="1"/>
        <s v="Nuvu" u="1"/>
        <s v="Ministerio de Ciencia Tecnología e Innovación" u="1"/>
      </sharedItems>
    </cacheField>
    <cacheField name="Status" numFmtId="0">
      <sharedItems containsBlank="1" count="6">
        <s v="Activo"/>
        <s v="Inactivo"/>
        <s v="Nuevo" u="1"/>
        <s v="Cerrado" u="1"/>
        <m u="1"/>
        <s v="WAC" u="1"/>
      </sharedItems>
    </cacheField>
    <cacheField name="Folder Legal" numFmtId="0">
      <sharedItems containsBlank="1"/>
    </cacheField>
    <cacheField name="Foldel Project Admin" numFmtId="0">
      <sharedItems containsBlank="1"/>
    </cacheField>
    <cacheField name="Project Manager" numFmtId="0">
      <sharedItems containsBlank="1" count="16">
        <s v="N.A."/>
        <s v="Oscar Barragan"/>
        <s v="Kelly Carbonell"/>
        <s v="David Cortes"/>
        <s v="Juan Bernal"/>
        <s v="Diana Rojas"/>
        <s v="Daniel Sebastian Vargas"/>
        <s v="Miguel Garcia"/>
        <s v="Diana Castro"/>
        <m/>
        <s v="Fernando Ortega"/>
        <s v="Sofia Perdomo " u="1"/>
        <s v="Jose Florez" u="1"/>
        <s v="Kelly Carbolnell" u="1"/>
        <s v="Daniel Vargas" u="1"/>
        <s v="Kelly Carbonel" u="1"/>
      </sharedItems>
    </cacheField>
    <cacheField name="Account Manager" numFmtId="0">
      <sharedItems/>
    </cacheField>
    <cacheField name="Technical Leader" numFmtId="0">
      <sharedItems containsBlank="1"/>
    </cacheField>
    <cacheField name="Sr Tech" numFmtId="0">
      <sharedItems containsBlank="1"/>
    </cacheField>
    <cacheField name="Contract Type" numFmtId="0">
      <sharedItems/>
    </cacheField>
    <cacheField name="Support Engineer" numFmtId="0">
      <sharedItems containsBlank="1"/>
    </cacheField>
    <cacheField name="NetSuite" numFmtId="0">
      <sharedItems containsBlank="1" containsMixedTypes="1" containsNumber="1" containsInteger="1" minValue="2600" maxValue="74568"/>
    </cacheField>
    <cacheField name="Team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99.948235069445" createdVersion="8" refreshedVersion="8" minRefreshableVersion="3" recordCount="282" xr:uid="{E7F4DA3C-56BE-4492-A4B6-0C072B459CF2}">
  <cacheSource type="worksheet">
    <worksheetSource ref="A1:S1048576" sheet="project"/>
  </cacheSource>
  <cacheFields count="19">
    <cacheField name="Project ID" numFmtId="0">
      <sharedItems containsBlank="1"/>
    </cacheField>
    <cacheField name="ID Old" numFmtId="0">
      <sharedItems containsBlank="1" count="121">
        <s v="P0105"/>
        <s v="P0221"/>
        <s v="P0312"/>
        <s v="P0070"/>
        <s v="P0337"/>
        <s v="P0323"/>
        <s v="P0255"/>
        <s v="P0278"/>
        <s v="P0321"/>
        <s v="P0339"/>
        <s v="P0338"/>
        <s v="P0168"/>
        <s v="P0217"/>
        <s v="P0265"/>
        <s v="P0302"/>
        <s v="P0280"/>
        <s v="P0260"/>
        <s v="P0281"/>
        <s v="P0272"/>
        <s v="P0291"/>
        <s v="P0311"/>
        <s v="P0294"/>
        <s v="P0298"/>
        <s v="P0308"/>
        <s v="P0317"/>
        <s v="P0290"/>
        <s v="P0075"/>
        <s v="P0346"/>
        <s v="P0300"/>
        <s v="P0304"/>
        <s v="P0305"/>
        <s v="P0306"/>
        <s v="P0316"/>
        <s v="P0309"/>
        <s v="P0301"/>
        <s v="P0307"/>
        <s v="P0332"/>
        <s v="P0318"/>
        <s v="P0322"/>
        <s v="P0320"/>
        <s v="P0334"/>
        <s v="P0336"/>
        <s v="P0330"/>
        <s v="P0340"/>
        <s v="P0341"/>
        <s v="P0181"/>
        <s v="P0296"/>
        <s v="P0343"/>
        <s v="P0344"/>
        <s v="P0354"/>
        <s v="P0347"/>
        <s v="P0348"/>
        <s v="P0351"/>
        <s v="P0349"/>
        <s v="P0350"/>
        <s v="P0352"/>
        <s v="P0353"/>
        <s v="P0355"/>
        <s v="P0356"/>
        <s v="P0357"/>
        <s v="P0358"/>
        <s v="P0101"/>
        <s v="P0113"/>
        <s v="P0359"/>
        <s v="P0360"/>
        <s v="P0361"/>
        <s v="P0362"/>
        <s v="P0363"/>
        <s v="P0364"/>
        <s v="P0365"/>
        <s v="P0368"/>
        <s v="P0369"/>
        <s v="P0366"/>
        <s v="P0367"/>
        <s v="P0370"/>
        <s v="P0371"/>
        <s v="P0140"/>
        <s v="P0372"/>
        <s v="P0373"/>
        <s v="P0374"/>
        <s v="P0375"/>
        <s v="P0313"/>
        <s v="P0376"/>
        <s v="P0377"/>
        <s v="P0378"/>
        <s v="P0379"/>
        <s v="P0380"/>
        <s v="P0381"/>
        <s v="P0382"/>
        <s v="P0383"/>
        <s v="P0384"/>
        <s v="P0385"/>
        <s v="P0386"/>
        <s v="P0387"/>
        <s v="P0388"/>
        <s v="P0389"/>
        <s v="P0390"/>
        <s v="P0391"/>
        <s v="P0394"/>
        <s v="P0395"/>
        <s v="P0396"/>
        <s v="P0397"/>
        <s v="P0398"/>
        <s v="P0399"/>
        <s v="P0400"/>
        <s v="P0401"/>
        <s v="P0402"/>
        <s v="P0403"/>
        <s v="P0404"/>
        <s v="P0405"/>
        <s v="P0043"/>
        <s v="P0269"/>
        <s v="P0293"/>
        <s v="P0315"/>
        <s v="P0319"/>
        <s v="P0327"/>
        <s v="P0328"/>
        <s v="P0329"/>
        <s v="P0335"/>
        <s v="P0342"/>
        <m/>
      </sharedItems>
    </cacheField>
    <cacheField name="Project Name Full" numFmtId="0">
      <sharedItems containsBlank="1" count="268">
        <s v="COE – Center of Excellence (Reuniones internas /  Entrega interna de proyectos dedicado)"/>
        <s v="BLD - Meetings &amp; Training - Internal"/>
        <s v="BLD - Time Off &amp; Holiday - Internal"/>
        <s v="BTG - SmartCash - Operación - Ret SW"/>
        <s v="BTG - SmartCash - Operación - Ret"/>
        <s v="ACA - Catastro Cali Piloto Dashboard - Cloud"/>
        <s v="ACA - Catastro Cali Piloto Dashboard - Fixed"/>
        <s v="ACA - Fase 1 Datacali - Fixed"/>
        <s v="ACA - Fase 1 Datacali - Ret SW"/>
        <s v="ACA - Fase 1 Datacali - Cloud"/>
        <s v="AGA - Datalake Grupo de Energía de Bogotá - Cloud"/>
        <s v="AGA - Datalake Grupo de Energía de Bogotá - Ret SW"/>
        <s v="AGA - Datalake Grupo de Energía de Bogotá - Ret"/>
        <s v="AGR - Multicash Operación - Pending"/>
        <s v="AGR - CP Suite ( Smartcash) Operación - Ret"/>
        <s v="AGR - Quicksight Operación 2025   - Cloud"/>
        <s v="AGR - Snaptask Operación 2025 - Ret"/>
        <s v="UBO - Operación Cloud - Cloud"/>
        <s v="DIA - Aprovisionamiento multinube - Lote 3 - Cloud"/>
        <s v="JPM - Cloud Managed Services 2023-25 - Ret"/>
        <s v="JPM - Cloud Managed Services 2023-25 - Cloud"/>
        <s v="BID - Migración y Diseño de Arquitectura AWS - Cloud"/>
        <s v="BID - Migración y Diseño de Arquitectura AWS - Ret"/>
        <s v="DIA - Back Ups - Fixed"/>
        <s v="CAT - Nube Pública para Datalake - Ret"/>
        <s v="CAT - Nube Pública para Datalake - Cloud"/>
        <s v="CCC - IaaS para DRP - Cloud"/>
        <s v="CSJ - Migración AWS - Fixed"/>
        <s v="UNA - Unisalud - Ret"/>
        <s v="CJU - Sistema integrado de Secretaría Técnica - Ret"/>
        <s v="UNA - Regalías Sikie - Cloud"/>
        <s v="UNA - Regalías Sikie - Ret"/>
        <s v="UNA - Fortinet - Fixed"/>
        <s v="EAF - Portal Colombia Aprende - Fixed"/>
        <s v="EAF - Portal Colombia Aprende - Ret SW"/>
        <s v="EAF - Portal Colombia Aprende - Cloud"/>
        <s v="UNA - Fortinet - Cloud"/>
        <s v="FDN - Tableros BI - Fixed"/>
        <s v="FOA - Gestión Integral Mojana - Fixed"/>
        <s v="FOA - Gestión Integral Mojana - Ret SW"/>
        <s v="FOA - Gestión Integral Mojana - Cloud"/>
        <s v="GLO - SmartCash - Operación - Cloud"/>
        <s v="ICF - Evolución Datalake Fase1 2025 - Fixed"/>
        <s v="ICF - Evolución Datalake Fase1 2025 - Ret"/>
        <s v="ICF - Evolución Datalake Fase1 2025 - Cloud"/>
        <s v="ICF - Evolución Datalake Fase1 2025 - Ret SW"/>
        <s v="UNA - Laboratorios Virtuales - Cloud"/>
        <s v="UNA - Editorial de UNAL - Cloud"/>
        <s v="UNA - Repositorio - Cloud"/>
        <s v="UNA - HPC Registro y Matrícula - Cloud"/>
        <s v="MTC - Ciudades y territorios inteligentes Mintic - Ret"/>
        <s v="MTC - Ciudades y territorios inteligentes Mintic - Fixed"/>
        <s v="MTC - Ciudades y territorios inteligentes Mintic - Cloud"/>
        <s v="MTC - Microcentros AI - Ret"/>
        <s v="MTC - Microcentros AI - Cloud"/>
        <s v="SAN - Soporte y Mantenimiento Quipu 2024-25 - Ret"/>
        <s v="SDH - Datalake Secretaria del Hábitat - Ret SW"/>
        <s v="SDH - Datalake Secretaria del Hábitat - Cloud"/>
        <s v="SDH - Datalake Secretaria del Hábitat - Ret"/>
        <s v="SOC - IA Sociedades 2024-2025 - Cloud"/>
        <s v="SOC - IA Sociedades 2024-2025 - Ret"/>
        <s v="CJU - Sistema integrado de Secretaría Técnica - Fixed"/>
        <s v="CJU - Sistema integrado de Secretaría Técnica - Ret SW"/>
        <s v="CJU - Sistema integrado de Secretaría Técnica - Cloud"/>
        <s v="FDN - Servicios profesionales Arquitectura - Fixed"/>
        <s v="UCA - ODS 1512 - Soporte y Mtto Quipu 24-25 - Ret"/>
        <s v="MMN - Cloud Sistema de Recaudo - Fixed"/>
        <s v="MMN - Cloud Sistema de Recaudo - Cloud"/>
        <s v="MMN - Cloud Sistema de Recaudo - Ret Other Vendors"/>
        <s v="MMN - Cloud Sistema de Recaudo - Ret "/>
        <s v="SPD - Repositorio Único de Datos - Fixed"/>
        <s v="SPD - Repositorio Único de Datos - Ret SW"/>
        <s v="SPD - Repositorio Único de Datos - Cloud"/>
        <s v="UNA - Gestión de Información - Fixed"/>
        <s v="UNA - Gestión de Información - Ret"/>
        <s v="UNA - Gestión de Información - Cloud"/>
        <s v="UNA - Servicios Quipu - Fixed"/>
        <s v="UNA - Facultad de ingenieria - Ret"/>
        <s v="UNA - Facultad de ingenieria - Cloud"/>
        <s v="BID - Development as a Service - Fixed"/>
        <s v="WIT - Witty Operación - Ret"/>
        <s v="SIC - Soporte infraestructura - Ret"/>
        <s v="BID - Development as a Service - Ret"/>
        <s v="BID - Development as a Service - Cloud"/>
        <s v="BID - Development as a Service - Ret SW"/>
        <s v="FDN - Servicios de arquitectura - Cloud"/>
        <s v="UNA - Soporte y Mtto Quipu 2025 - Ret"/>
        <s v="ACA - Agente Cognitivo y Migración - Fixed"/>
        <s v="ACA - Agente Cognitivo y Migración - Cloud"/>
        <s v="PON - IAPOL-G - IA Generative - Fixed"/>
        <s v="PON - IAPOL-G - IA Generative - Ret SW"/>
        <s v="PON - IAPOL-G - IA Generative - Cloud"/>
        <s v="PON - IAPOL-G - IA Generative - Ret"/>
        <s v="PON - IAPOL-G - IA Generative - Other Vendors"/>
        <s v="CSJ - Digitalización archivo físico - Cloud"/>
        <s v="CSJ - Digitalización archivo físico - Fixed"/>
        <s v="CSJ - Migración AWS - Cloud"/>
        <s v="BLD - All-Start Program LATAM - Internal"/>
        <s v="CSJ - PoC Agente para exposición contenido - Cloud"/>
        <s v="CSJ - PoC Agente para exposición contenido - Fixed"/>
        <s v="CSJ - PoC Agente para exposición contenido - Ret SW"/>
        <s v="FOA - Evolución Integral Mojana - Cloud"/>
        <s v="FOA - Evolución Integral Mojana - Fixed"/>
        <s v="FOA - Evolución Integral Mojana - Ret"/>
        <s v="FOA - Evolución Integral Mojana - Ret SW"/>
        <s v="FOA - Evolución Integral Mojana - Ret Other Vendors"/>
        <s v="UNA - Facultad de Derecho concurso méritos - Cloud"/>
        <s v="UNA - Facultad de Derecho concurso méritos - Ret"/>
        <s v="UNA - OSE 26 Admisiones - Cloud"/>
        <s v="AGR - Multicash Operación - Cloud"/>
        <s v="AGR - Quicksight Operación  - Cloud"/>
        <s v="AGR - Snaptask Operación  - Ret SW"/>
        <s v="UNA - OSE 43 Moodle Extensión - Cloud"/>
        <s v="UNA - OSE 43 Moodle Extensión - Ret"/>
        <s v="UNA - Dinara de UNAL - Ret"/>
        <s v="UNA - Dinara de UNAL - Cloud"/>
        <s v="UNA - Facultad de Derecho - Cloud"/>
        <s v="UNA - Facultad de Derecho - Ret"/>
        <s v="UNA - Unisalud - Cloud"/>
        <s v="CJU - Vigilancia y MET Plus - Fixed"/>
        <s v="CJU - Vigilancia y MET Plus - Cloud"/>
        <s v="BLD - Product Houndoc Latam "/>
        <s v="BLD - Producto - Houndoc - Internal"/>
        <s v="CJU - Vigilancia y MET Plus - Ret"/>
        <s v="CJU - Vigilancia y MET Plus - Ret SW"/>
        <s v="UNA - Contrato 4 - Servicio Computacion - Cloud"/>
        <s v="UNA - Contrato 4 - Servicio Computacion - Ret"/>
        <s v="UNA - Ofc Gestion Ambiental - Cloud"/>
        <s v="UNA - Ofc Gestion Ambiental - Fixed"/>
        <s v="CSJ - Continuidad Operación AWS - Cloud"/>
        <s v="CSJ - Continuidad Operación AWS - Ret"/>
        <s v="CSJ - Continuidad Operación AWS - Ret Other Vendors"/>
        <s v="SAN - Soporte y Mantenimiento Quipu 2025 - Ret"/>
        <s v="SAN - Soporte y Mantenimiento Quipu 2025 - Fixed"/>
        <s v="CAT - Agente Cognitivo e Infraestructura AWS - Cloud"/>
        <s v="CAT - Agente Cognitivo e Infraestructura AWS - Ret"/>
        <s v="CAT - Agente Cognitivo e Infraestructura AWS - Ret SW"/>
        <s v="CAT - Agente Cognitivo e Infraestructura AWS - Fixed"/>
        <s v="UCA - Soporte y Mtto Quipu 2025 - Ret"/>
        <s v="UCA - Soporte y Mtto Quipu 2025 - Cloud"/>
        <s v="ICF - Evolución Datalake Fase 2 2025 - Cloud"/>
        <s v="ACA - Fase 2 Datacali - Fixed"/>
        <s v="ACA - Agente Cognitivo y Soporte Migración - Fixed"/>
        <s v="ACA - Agente Cognitivo y Soporte Migración - Cloud"/>
        <s v="ACA - Agente Cognitivo y Soporte Migración - Ret"/>
        <s v="ACA - Agente Cognitivo y Soporte Migración - Ret Other Vendors"/>
        <s v="ACA - Agente Cognitivo y Soporte Migración - Ret SW"/>
        <s v="ICF - Evolución Datalake Fase 2 2025 - Fixed"/>
        <s v="ICF - Evolución Datalake Fase 2 2025 - Ret"/>
        <s v="ICF - Evolución Datalake Fase 2 2025 - Ret SW"/>
        <s v="ICF - Evolución Datalake Fase 2 2025 - Ret Other Vendors"/>
        <s v="ICF - Migración OCI 2025 - Cloud"/>
        <s v="ICF - Migración OCI 2025 - Fixed"/>
        <s v="PRO - SmartCash - Operación - Ret"/>
        <s v="PRO - SmartCash - Operación - Cloud"/>
        <s v="CSJ - Digitalización archivo físico Fase II - Fixed"/>
        <s v="CSJ - Digitalización archivo físico Fase II - Ret"/>
        <s v="CSJ - Digitalización archivo físico Fase II - Cloud"/>
        <s v="ADR- MVP Auditoría Médica Especializada - Fixed"/>
        <s v="ADR- MVP Auditoría Médica Especializada - Cloud"/>
        <s v="CSJ - Digitalización archivo físico Fase II - Ret SW"/>
        <s v="ADR- MVP Auditoría Médica Especializada - Ret Other vendors"/>
        <s v="BLD - Internal Project Delivery (Ad-Hoc) - Internal"/>
        <s v="ACA - Fase 2 Datacali - Cloud"/>
        <s v="CSJ - Digitalización archivo físico Fase II - Ret Other Vendors"/>
        <s v="ACP- Historia Laboral y Recaudo - Fixed"/>
        <s v="ACP- Historia Laboral y Recaudo - Cloud"/>
        <s v="UNA- OSE 3 Secretaría General Fixed"/>
        <s v="UNA- OSE 3 Secretaría General Cloud"/>
        <s v="ACA -  Virtualización infraestructura Cali  - Cloud"/>
        <s v="ACA -  Virtualización infraestructura Cali  - Ret"/>
        <s v="BLD - BLD - All-Start Program LATAM - Internal"/>
        <s v="ACA -  Virtualización infraestructura Cali  - Ret SW"/>
        <s v="ACA -  Virtualización infraestructura Cali  - Ret Other Vendors"/>
        <s v="ACA - Fase III DataCali - Fixed"/>
        <s v="ACA - Fase III DataCali - Ret Other Vendors"/>
        <s v="ADR- MVP Auditoría Médica Especializada - RetSW"/>
        <s v="SED- Automatización procesos seguros, adquisiciones y accidentes - Fixed"/>
        <s v="SED- Automatización procesos seguros, adquisiciones y accidentes - Ret "/>
        <s v="SED- Automatización procesos seguros, adquisiciones y accidentes - Ret SW"/>
        <s v="SED- Automatización procesos seguros, adquisiciones y accidentes - Cloud"/>
        <s v="IGM - instituto Geografico Militar - Ecuador  Fixed"/>
        <s v="IGM - instituto Geografico Militar - Ecuador Ret"/>
        <s v="IGM - instituto Geografico Militar - Ecuador Ret Cloud"/>
        <s v="IGM - instituto Geografico Militar - Ecuador Ret SW"/>
        <s v="UNA- OSE61 Egresados Cloud"/>
        <s v="UNA- OSE61 Egresados Ret"/>
        <s v="UNA- OSE61 Egresados Fixed"/>
        <s v="CO - ADRES - AI Medical Audit Phase 1 - Fixed"/>
        <s v="CO - ADRES - AI Medical Audit Phase 1 - Cloud"/>
        <s v="CO - ADRES - AI Medical Audit Phase 1 - Ret Sw"/>
        <s v="CO - ADRES - AI Medical Audit Phase 1 - Other Vendors"/>
        <s v="CO - ADRES - Modernizacion - Fixed"/>
        <s v="CO - ADRES - Modernizacion - Cloud"/>
        <s v="CO - ADRES - Modernizacion - Ret"/>
        <s v="CO - ADRES - Modernizacion - Other Vendors"/>
        <s v="CO - ADRES - Modernizacion - Ret Sw"/>
        <s v="ACA - Hacienda a un Click - Fixed"/>
        <s v="ACA - Hacienda a un Click - Ret"/>
        <s v="ACA - Hacienda a un Click - Ret SW"/>
        <s v="ACA - Hacienda a un Click - Ret Other Vendors"/>
        <s v="ICF - Banco de Items"/>
        <s v="ICF - Operacion en AWS"/>
        <s v="ICF - Datalake"/>
        <s v="UDS - Servicios Profesionales - Fixed"/>
        <s v="CO - Universidad Nacional- Fortinet - Cloud"/>
        <s v="CO - Universidad Nacional- Fortinet - Ret"/>
        <s v="CO - Universidad Nacional- Fortinet - Other Vendors"/>
        <s v="CO - Universidad Nacional- Fortinet - Fixed"/>
        <s v="CO - Metro de Medellín - Inteligencia de Negocios y Analítica - Cloud"/>
        <s v="CO - Metro de Medellín - Inteligencia de Negocios y Analítica - Fixed"/>
        <s v="CO - Metro de Medellín - Inteligencia de Negocios y Analítica - Ret"/>
        <s v="CJU - Juegos Localizados enovacion Cloud"/>
        <s v="CJU - Juegos Localizados enovacion Fixed"/>
        <s v="CJU - Juegos Localizados enovacion Ret"/>
        <s v="CJU - Juegos Localizados enovacion Ret SW"/>
        <s v="CJU - Secretaria Tecnica Renovacion Cloud"/>
        <s v="CJU - Secretaria Tecnica Renovacion Fixed"/>
        <s v="CJU - Secretaria Tecnica Renovacion Ret"/>
        <s v="CJU - Secretaria Tecnica Renovacion Ret SW"/>
        <s v="CO-Supersociedades Renewal"/>
        <s v="CO - Fiduagraria- Renovacion Quicksight 2026 - Cloud"/>
        <s v="CO - Fiduagraria- Renovacion Smartcash 2026 - Fixed"/>
        <s v="CO - Fiduagraria- Renovacion Smartcash 2026 - Ret"/>
        <s v="CO - Fiduagraria- Renovacion Smartcash 2026 - Cloud"/>
        <s v="CO - Fiduagraria- Renovacion Smartcash 2026 - Ret SW"/>
        <s v="CO - Ministerio de educación - Colombia Aprende Portal - Operation - Fixed"/>
        <s v="CO - Ministerio de educación - Colombia Aprende Portal - Operation - Ret"/>
        <s v="CO - Ministerio de educación - Colombia Aprende Portal - Operation - Cloud"/>
        <s v="SEP - Secretaria de Planeacion - SIPU - Operation - Fixed"/>
        <s v="SEP - Secretaria de Planeacion - SIPU - Operation - Cloud"/>
        <s v="SEP - Secretaria de Planeacion - SIPU - Operation - Ret"/>
        <s v="SEP - Secretaria de Planeacion - SIPU - Operation - Ret SW"/>
        <s v="HotelPlanner - AWS Database Migration &amp; Modernization"/>
        <s v="CO - Superservicios renovacion observatorio de datos- Fixed"/>
        <s v="CO - Superservicios renovacion observatorio de datos- Ret SW"/>
        <s v="CO - Superservicios renovacion observatorio de datos- Cloud"/>
        <s v="CO - Superservicios renovacion observatorio de datos- Ret"/>
        <s v="CO - ICFES - Banco de items Fase 2 - Ret"/>
        <s v="CO - ICFES - Banco de items Fase 2 - Ret Other Vendors"/>
        <s v="CO - ICFES - Banco de items Fase 2 - Cloud"/>
        <s v="CO - ICFES - Datalake 2026-1 - Ret"/>
        <s v="CO - ICFES - Datalake 2026-1 - Cloud"/>
        <s v="CO - ICFES - Datalake 2026-1 - Ret Sw"/>
        <s v="CO - Catastro - Fase 3 - Fixed"/>
        <s v="CO - Catastro - Fase 3 - Ret"/>
        <s v="CO - Catastro - Fase 3 - Cloud"/>
        <s v="CO - Ingenium - API Manager -Ret"/>
        <s v="CO - Ingenium - API Manager -Fixed"/>
        <s v="CO - Universidad de caldas Renovación Semestre 1 - 2025"/>
        <s v="CO - ICFES - Citación con Georreferenciación - Fixed"/>
        <s v="CO - ICFES - Citación con Georreferenciación - Ret"/>
        <s v="CO - ICFES - Citación con Georreferenciación - Ret SW"/>
        <s v="CO - ICFES - Citación con Georreferenciación - Other Vendors"/>
        <s v="CO - ICFES - Citación con Georreferenciación - Cloud"/>
        <s v="REN - Rendara - MVP Implementación - Pending"/>
        <s v="MTU - Desarrollo Muttu 2.0 - Pending"/>
        <s v="MTU - Operación - Muttu V2.0 - Pending"/>
        <s v="BCX - Assessment Data Analytics - Pending"/>
        <s v="FDN - POC Agente Cognitivo Contratación - Pending"/>
        <s v="MDR - POC - Grupos Relacionados por el Diagnóstico (GRDs) - Pending"/>
        <s v="PRO - POC - Análisis de llamadas - Pending"/>
        <s v="MTC - POC - EVA - Pending"/>
        <s v="BRE - PoC ACI Pagos Inmediatos - Pending"/>
        <s v="CCB - Poc Analitica - Pending"/>
        <s v=" -  - "/>
        <m/>
        <s v="IGM - instituto Geografico Militar - Ecuador" u="1"/>
      </sharedItems>
    </cacheField>
    <cacheField name="Objetivo" numFmtId="0">
      <sharedItems containsBlank="1"/>
    </cacheField>
    <cacheField name="Blend Project Type" numFmtId="0">
      <sharedItems containsBlank="1"/>
    </cacheField>
    <cacheField name="Sigla" numFmtId="0">
      <sharedItems containsBlank="1"/>
    </cacheField>
    <cacheField name="Type Project" numFmtId="0">
      <sharedItems containsBlank="1" count="6">
        <s v="Interno"/>
        <s v="Software SW"/>
        <s v="Operación"/>
        <s v="Data"/>
        <s v="Implementación"/>
        <m/>
      </sharedItems>
    </cacheField>
    <cacheField name="Client Name" numFmtId="0">
      <sharedItems containsBlank="1"/>
    </cacheField>
    <cacheField name="Status" numFmtId="0">
      <sharedItems containsBlank="1" count="3">
        <s v="Activo"/>
        <s v="Inactivo"/>
        <m/>
      </sharedItems>
    </cacheField>
    <cacheField name="Folder Legal" numFmtId="0">
      <sharedItems containsBlank="1"/>
    </cacheField>
    <cacheField name="Foldel Project Admin" numFmtId="0">
      <sharedItems containsBlank="1"/>
    </cacheField>
    <cacheField name="Project Manager" numFmtId="0">
      <sharedItems containsBlank="1" count="13">
        <s v="N.A."/>
        <s v="Oscar Barragan"/>
        <s v="Kelly Carbonell"/>
        <s v="David Cortes"/>
        <s v="Juan Bernal"/>
        <s v="Diana Rojas"/>
        <s v="Daniel Sebastian Vargas"/>
        <s v="Miguel Garcia"/>
        <s v="Diana Castro"/>
        <m/>
        <s v="Fernando Ortega"/>
        <s v="Indira Duarte"/>
        <s v="Juan Bernal " u="1"/>
      </sharedItems>
    </cacheField>
    <cacheField name="Account Manager" numFmtId="0">
      <sharedItems containsBlank="1"/>
    </cacheField>
    <cacheField name="Technical Leader" numFmtId="0">
      <sharedItems containsBlank="1"/>
    </cacheField>
    <cacheField name="Sr Tech" numFmtId="0">
      <sharedItems containsBlank="1"/>
    </cacheField>
    <cacheField name="Contract Type" numFmtId="0">
      <sharedItems containsBlank="1"/>
    </cacheField>
    <cacheField name="Support Engineer" numFmtId="0">
      <sharedItems containsBlank="1"/>
    </cacheField>
    <cacheField name="NetSuite" numFmtId="0">
      <sharedItems containsBlank="1" containsMixedTypes="1" containsNumber="1" containsInteger="1" minValue="2519" maxValue="98818"/>
    </cacheField>
    <cacheField name="Team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">
  <r>
    <s v="P0105"/>
    <s v="COE – Center of Excellence (Reuniones internas /  Entrega interna de proyectos dedicado)"/>
    <s v="COE - Center of Excellence"/>
    <s v="Internal"/>
    <x v="0"/>
    <s v="Interno"/>
    <x v="0"/>
    <x v="0"/>
    <s v="N.A."/>
    <s v="N.A."/>
    <x v="0"/>
    <s v="N.A."/>
    <s v="N.A."/>
    <s v="N.A."/>
    <s v="In Progress"/>
    <s v="N. A."/>
    <n v="5045"/>
    <s v="No Aplica"/>
  </r>
  <r>
    <s v="P0221"/>
    <s v="BLD - Meetings &amp; Training - Internal"/>
    <s v="Meetings &amp; Training"/>
    <s v="Internal"/>
    <x v="0"/>
    <s v="Interno"/>
    <x v="0"/>
    <x v="0"/>
    <s v="N.A."/>
    <s v="N.A."/>
    <x v="0"/>
    <s v="N.A."/>
    <s v="N.A."/>
    <s v="N.A."/>
    <s v="In Progress"/>
    <s v="N. A."/>
    <n v="5045"/>
    <s v="No Aplica"/>
  </r>
  <r>
    <s v="P0312"/>
    <s v="BLD - Time Off &amp; Holiday - Internal"/>
    <s v="Time Off &amp; Holiday"/>
    <s v="Internal"/>
    <x v="0"/>
    <s v="Interno"/>
    <x v="0"/>
    <x v="0"/>
    <s v="N.A."/>
    <s v="N.A."/>
    <x v="0"/>
    <s v="N.A."/>
    <s v="N.A."/>
    <s v="N.A."/>
    <s v="In Progress"/>
    <s v="N. A."/>
    <n v="5045"/>
    <s v="No Aplica"/>
  </r>
  <r>
    <s v="P0070"/>
    <s v="BTG - SmartCash - Operación - Ret SW"/>
    <s v="SmartCash - Operación"/>
    <s v="Ret SW"/>
    <x v="1"/>
    <s v="Software SW"/>
    <x v="1"/>
    <x v="0"/>
    <s v="BTG Pactual S.A"/>
    <s v="Cto Mantenimiento y soporte CP Suite"/>
    <x v="1"/>
    <s v="Daniela Muñoz"/>
    <s v="Carlos Sierra"/>
    <s v="Ariane Hernandez"/>
    <s v="In Progress"/>
    <s v="Miguel.Carrillo"/>
    <s v="55132 - Ret SW_x000a_56836 - Ret"/>
    <s v="No Aplica"/>
  </r>
  <r>
    <s v="P0070"/>
    <s v="BTG - SmartCash - Operación - Ret"/>
    <s v="SmartCash - Operación"/>
    <s v="Ret"/>
    <x v="1"/>
    <s v="Operación"/>
    <x v="2"/>
    <x v="0"/>
    <s v="BTG Pactual S.A"/>
    <s v="BTG COLOMBIA 13.580"/>
    <x v="1"/>
    <s v="Daniela Muñoz"/>
    <s v="Carlos Sierra"/>
    <s v="Ariane Hernandez"/>
    <s v="In Progress"/>
    <s v="Miguel.Carrillo"/>
    <s v="55132 - Ret SW_x000a_56836 - Ret"/>
    <s v="Operations_Team_01"/>
  </r>
  <r>
    <s v="P0337"/>
    <s v="ACA - Catastro Cali Piloto Dashboard - Cloud"/>
    <s v="Catastro Cali Piloto Dashboard"/>
    <s v="Cloud"/>
    <x v="2"/>
    <s v="Data"/>
    <x v="3"/>
    <x v="1"/>
    <s v="Alcadia de Cali"/>
    <s v="N.A."/>
    <x v="2"/>
    <s v="Karen Arandia"/>
    <s v="Carlos Sierra"/>
    <s v="Simón Lopez"/>
    <s v="Complete"/>
    <s v="N. A."/>
    <s v="55115 - CLOUD_x000a_55116 - Fixed"/>
    <s v="No Aplica"/>
  </r>
  <r>
    <s v="P0337"/>
    <s v="ACA - Catastro Cali Piloto Dashboard - Fixed"/>
    <s v="Catastro Cali Piloto Dashboard"/>
    <s v="Fixed"/>
    <x v="2"/>
    <s v="Implementación"/>
    <x v="3"/>
    <x v="1"/>
    <s v="Alcadia de Cali"/>
    <s v="N.A."/>
    <x v="2"/>
    <s v="Karen Arandia"/>
    <s v="Carlos Sierra"/>
    <s v="Simón Lopez"/>
    <s v="Complete"/>
    <s v="N. A."/>
    <s v="55115 - CLOUD_x000a_55116 - Fixed"/>
    <s v="Simón Lopez"/>
  </r>
  <r>
    <s v="P0323"/>
    <s v="ACA - Fase 1 Datacali - Fixed"/>
    <s v="Fase 1 Datacali"/>
    <s v="Fixed"/>
    <x v="2"/>
    <s v="Implementación"/>
    <x v="3"/>
    <x v="1"/>
    <s v="Alcadia de Cali"/>
    <s v="Contrato No. 4134.010.26.1.0441-2024"/>
    <x v="2"/>
    <s v="Karen Arandia"/>
    <s v="Carlos Sierra"/>
    <s v="Simón Lopez"/>
    <s v="Complete"/>
    <s v="N. A."/>
    <s v="55117 - Fixed_x000a_55118 - Ret SW_x000a_55119 - CLOUD"/>
    <s v="Simón Lopez"/>
  </r>
  <r>
    <s v="P0323"/>
    <s v="ACA - Fase 1 Datacali - Ret SW"/>
    <s v="Fase 1 Datacali"/>
    <s v="Ret SW"/>
    <x v="2"/>
    <s v="Software SW"/>
    <x v="3"/>
    <x v="1"/>
    <s v="Alcadia de Cali"/>
    <s v="Contrato No. 4134.010.26.1.0441-2024"/>
    <x v="2"/>
    <s v="Karen Arandia"/>
    <s v="Carlos Sierra"/>
    <s v="Simón Lopez"/>
    <s v="Complete"/>
    <s v="N. A."/>
    <s v="55117 - Fixed_x000a_55118 - Ret SW_x000a_55119 - CLOUD"/>
    <s v="No Aplica"/>
  </r>
  <r>
    <s v="P0323"/>
    <s v="ACA - Fase 1 Datacali - Cloud"/>
    <s v="Fase 1 Datacali"/>
    <s v="Cloud"/>
    <x v="2"/>
    <s v="Data"/>
    <x v="3"/>
    <x v="1"/>
    <s v="Alcadia de Cali"/>
    <s v="Contrato No. 4134.010.26.1.0441-2024"/>
    <x v="2"/>
    <s v="Karen Arandia"/>
    <s v="Carlos Sierra"/>
    <s v="Simón Lopez"/>
    <s v="Complete"/>
    <s v="N. A."/>
    <s v="55117 - Fixed_x000a_55118 - Ret SW_x000a_55119 - CLOUD"/>
    <s v="No Aplica"/>
  </r>
  <r>
    <s v="P0255"/>
    <s v="AGA - Datalake Grupo de Energía de Bogotá - Cloud"/>
    <s v="Datalake Grupo de Energía de Bogotá"/>
    <s v="Cloud"/>
    <x v="3"/>
    <s v="Data"/>
    <x v="4"/>
    <x v="1"/>
    <s v="Agata GEB- SDP"/>
    <s v="Otrosi n° 3 Anexo 2"/>
    <x v="2"/>
    <s v="Alejandra Gomez"/>
    <s v="Carlos Sierra"/>
    <s v="Jose Gallego"/>
    <s v="Complete"/>
    <s v="N. A."/>
    <s v="55120 - CLOUD_x000a_55121 - Ret SW_x000a_55122 - Ret"/>
    <s v="No Aplica"/>
  </r>
  <r>
    <s v="P0255"/>
    <s v="AGA - Datalake Grupo de Energía de Bogotá - Ret SW"/>
    <s v="Datalake Grupo de Energía de Bogotá"/>
    <s v="Ret SW"/>
    <x v="3"/>
    <s v="Software SW"/>
    <x v="4"/>
    <x v="1"/>
    <s v="Agata GEB- SDP"/>
    <s v="Otrosi n° 3 Anexo 2"/>
    <x v="2"/>
    <s v="Alejandra Gomez"/>
    <s v="Carlos Sierra"/>
    <s v="Jose Gallego"/>
    <s v="Complete"/>
    <s v="N. A."/>
    <s v="55120 - CLOUD_x000a_55121 - Ret SW_x000a_55122 - Ret"/>
    <s v="No Aplica"/>
  </r>
  <r>
    <s v="P0255"/>
    <s v="AGA - Datalake Grupo de Energía de Bogotá - Ret"/>
    <s v="Datalake Grupo de Energía de Bogotá"/>
    <s v="Ret"/>
    <x v="3"/>
    <s v="Operación"/>
    <x v="4"/>
    <x v="1"/>
    <s v="Agata GEB- SDP"/>
    <s v="Anexo 2 GEB- SDP"/>
    <x v="2"/>
    <s v="Alejandra Gomez"/>
    <s v="Carlos Sierra"/>
    <s v="Jose Gallego"/>
    <s v="Complete"/>
    <s v="N. A."/>
    <s v="55120 - CLOUD_x000a_55121 - Ret SW_x000a_55122 - Ret"/>
    <s v="Operations_Team_01"/>
  </r>
  <r>
    <s v="P0278"/>
    <s v="AGR - Multicash Operación - Pending"/>
    <s v="Multicash Operación"/>
    <s v="Pending"/>
    <x v="4"/>
    <s v="Operación"/>
    <x v="5"/>
    <x v="1"/>
    <s v="Fiduagraria - Multicash"/>
    <s v="Otrosí No 2 Contrato 040 de 2021"/>
    <x v="2"/>
    <s v="Alejandra Gomez"/>
    <s v="Carlos Sierra"/>
    <s v="Angel Villasmil"/>
    <s v="Complete"/>
    <s v="Miguel.Carrillo"/>
    <m/>
    <s v="Operations_Team_01"/>
  </r>
  <r>
    <s v="P0321"/>
    <s v="AGR - CP Suite ( Smartcash) Operación - Ret"/>
    <s v="CP Suite ( Smartcash) Operación"/>
    <s v="Ret"/>
    <x v="4"/>
    <s v="Operación"/>
    <x v="5"/>
    <x v="1"/>
    <s v="Fiduagraria- CP Suite"/>
    <s v="OTROSI 3 CTO 032-2021. HIGH TECH"/>
    <x v="2"/>
    <s v="Alejandra Gomez"/>
    <s v="Carlos Sierra"/>
    <s v="Angel Villasmil"/>
    <s v="Complete"/>
    <s v="Miguel.Carrillo"/>
    <n v="55123"/>
    <s v="Operations_Team_01"/>
  </r>
  <r>
    <s v="P0339"/>
    <s v="AGR - Quicksight Operación 2025   - Cloud"/>
    <s v="Quicksight Operación 2025  "/>
    <s v="Cloud"/>
    <x v="4"/>
    <s v="Data"/>
    <x v="5"/>
    <x v="1"/>
    <s v="Fiduagraria - Quicksight "/>
    <s v="OTROSI 3 CTO 037-2021. HIGH TECH."/>
    <x v="2"/>
    <s v="Alejandra Gomez"/>
    <s v="Carlos Sierra"/>
    <s v="Angel Villasmil"/>
    <s v="Complete"/>
    <s v="N. A."/>
    <n v="55124"/>
    <s v="No Aplica"/>
  </r>
  <r>
    <s v="P0338"/>
    <s v="AGR - Snaptask Operación 2025 - Ret"/>
    <s v="Snaptask Operación 2025"/>
    <s v="Ret"/>
    <x v="4"/>
    <s v="Operación"/>
    <x v="5"/>
    <x v="1"/>
    <s v="Fiduagraria - Snaptask"/>
    <s v="OTROSI 3 CTO 038-2021. HIGH TECH"/>
    <x v="2"/>
    <s v="Alejandra Gomez"/>
    <s v="Carlos Sierra"/>
    <s v="Angel Villasmil"/>
    <s v="Complete"/>
    <s v="Miguel.Carrillo"/>
    <n v="55124"/>
    <s v="Operations_Team_01"/>
  </r>
  <r>
    <s v="P0168"/>
    <s v="UBO - Operación Cloud - Cloud"/>
    <s v="Operación Cloud"/>
    <s v="Cloud"/>
    <x v="5"/>
    <s v="Data"/>
    <x v="6"/>
    <x v="0"/>
    <s v="Universidad del Bosque"/>
    <s v="Cto PS 250-2021"/>
    <x v="3"/>
    <s v="Alejandra Gomez"/>
    <s v="Samuel Escobar"/>
    <s v="N.A."/>
    <s v="In Progress"/>
    <s v="N. A."/>
    <n v="55180"/>
    <s v="No Aplica"/>
  </r>
  <r>
    <s v="P0217"/>
    <s v="DIA - Aprovisionamiento multinube - Lote 3 - Cloud"/>
    <s v="Aprovisionamiento multinube - Lote 3"/>
    <s v="Cloud"/>
    <x v="6"/>
    <s v="Data"/>
    <x v="7"/>
    <x v="0"/>
    <s v="Dian"/>
    <s v="Convenio Contractual 92872-031-2022"/>
    <x v="4"/>
    <s v="Ciliana Capera"/>
    <s v="Nicolas Revollo"/>
    <s v="Juan Sanchéz"/>
    <s v="In Progress"/>
    <s v="N. A."/>
    <n v="55144"/>
    <s v="Cloud Operations"/>
  </r>
  <r>
    <s v="P0265"/>
    <s v="JPM - Cloud Managed Services 2023-25 - Ret"/>
    <s v="Cloud Managed Services 2023-25"/>
    <s v="Ret"/>
    <x v="7"/>
    <s v="Operación"/>
    <x v="8"/>
    <x v="0"/>
    <s v="Justicia Penal Militar"/>
    <s v="OC 119973"/>
    <x v="3"/>
    <s v="Marcela Sanchéz"/>
    <s v="Nicolas Revollo"/>
    <s v="Juan Sanchéz"/>
    <s v="In Progress"/>
    <s v="N. A."/>
    <s v="55159 - Ret_x000a_55160 - CLOUD"/>
    <s v="Cloud Operations"/>
  </r>
  <r>
    <s v="P0265"/>
    <s v="JPM - Cloud Managed Services 2023-25 - Cloud"/>
    <s v="Cloud Managed Services 2023-25"/>
    <s v="Cloud"/>
    <x v="7"/>
    <s v="Data"/>
    <x v="8"/>
    <x v="0"/>
    <s v="Justicia Penal Militar"/>
    <s v="OC 119973"/>
    <x v="3"/>
    <s v="Marcela Sanchéz"/>
    <s v="Nicolas Revollo"/>
    <s v="Juan Sanchéz"/>
    <s v="In Progress"/>
    <s v="N. A."/>
    <s v="55159 - Ret_x000a_55160 - CLOUD"/>
    <s v="Cloud Operations"/>
  </r>
  <r>
    <s v="P0302"/>
    <s v="BID - Migración y Diseño de Arquitectura AWS - Cloud"/>
    <s v="Migración y Diseño de Arquitectura AWS"/>
    <s v="Cloud"/>
    <x v="8"/>
    <s v="Data"/>
    <x v="9"/>
    <x v="1"/>
    <s v="Banco Interamericano de Desarrollo"/>
    <s v="PURCHASE ORDER NO. 7000019059"/>
    <x v="4"/>
    <s v="Marcela Sanchéz"/>
    <s v="Moises Rojas"/>
    <m/>
    <s v="Complete"/>
    <s v="N. A."/>
    <s v="55130 - CLOUD_x000a_55131 - Ret"/>
    <s v="No Aplica"/>
  </r>
  <r>
    <s v="P0302"/>
    <s v="BID - Migración y Diseño de Arquitectura AWS - Ret"/>
    <s v="Migración y Diseño de Arquitectura AWS"/>
    <s v="Ret"/>
    <x v="8"/>
    <s v="Operación"/>
    <x v="9"/>
    <x v="1"/>
    <s v="Banco Interamericano de Desarrollo"/>
    <s v="PURCHASE ORDER NO. 7000019059"/>
    <x v="4"/>
    <s v="Marcela Sanchéz"/>
    <s v="Carlos Sierra"/>
    <s v="Whitman Rojas"/>
    <s v="Complete"/>
    <s v="N. A."/>
    <s v="55130 - CLOUD_x000a_55131 - Ret"/>
    <s v="Whitman Rojas"/>
  </r>
  <r>
    <s v="P0280"/>
    <s v="DIA - Back Ups - Fixed"/>
    <s v="Back Ups"/>
    <s v="Fixed"/>
    <x v="6"/>
    <s v="Implementación"/>
    <x v="7"/>
    <x v="0"/>
    <s v="Dian"/>
    <s v="Propuesta Backups"/>
    <x v="4"/>
    <s v="Ciliana Capera"/>
    <s v="Nicolas Revollo"/>
    <s v="Juan Sanchéz"/>
    <s v="In Progress"/>
    <s v="N. A."/>
    <n v="55145"/>
    <s v="Cloud Operations"/>
  </r>
  <r>
    <s v="P0260"/>
    <s v="CAT - Nube Pública para Datalake - Ret"/>
    <s v="Nube Pública para Datalake"/>
    <s v="Ret"/>
    <x v="9"/>
    <s v="Operación"/>
    <x v="10"/>
    <x v="1"/>
    <s v="Unidad Administrativa de Catastro"/>
    <s v="OC 113430"/>
    <x v="1"/>
    <s v="Alejandra Gomez"/>
    <s v="Carlos Sierra"/>
    <s v="Marcelo Bonivento"/>
    <s v="Complete"/>
    <s v="N. A."/>
    <s v="55133 - Ret_x000a_55134 - CLOUD"/>
    <s v="Cloud Operations"/>
  </r>
  <r>
    <s v="P0260"/>
    <s v="CAT - Nube Pública para Datalake - Cloud"/>
    <s v="Nube Pública para Datalake"/>
    <s v="Cloud"/>
    <x v="9"/>
    <s v="Data"/>
    <x v="10"/>
    <x v="1"/>
    <s v="Unidad Administrativa de Catastro"/>
    <s v="OC 113430"/>
    <x v="1"/>
    <s v="Alejandra Gomez"/>
    <s v="Carlos Sierra"/>
    <s v="Marcelo Bonivento"/>
    <s v="Complete"/>
    <s v="N. A."/>
    <s v="55133 - Ret_x000a_55134 - CLOUD"/>
    <s v="Cloud Operations"/>
  </r>
  <r>
    <s v="P0281"/>
    <s v="CCC - IaaS para DRP - Cloud"/>
    <s v="IaaS para DRP"/>
    <s v="Cloud"/>
    <x v="10"/>
    <s v="Data"/>
    <x v="11"/>
    <x v="0"/>
    <s v="Cámara de Comercio de Cali"/>
    <s v="Contrato OSJ 2023-0374"/>
    <x v="2"/>
    <s v="Karen Arandia"/>
    <s v="Nicolas Revollo"/>
    <s v="Juan Sanchéz"/>
    <s v="In Progress"/>
    <s v="N. A."/>
    <n v="55135"/>
    <s v="Cloud Operations"/>
  </r>
  <r>
    <s v="P0272"/>
    <s v="CSJ - Migración AWS - Fixed"/>
    <s v="Migración AWS"/>
    <s v="Fixed"/>
    <x v="11"/>
    <s v="Implementación"/>
    <x v="12"/>
    <x v="1"/>
    <s v="Consejo Superior de la Judicatura"/>
    <s v="OC 122576"/>
    <x v="3"/>
    <s v="Andres Barrantes"/>
    <s v="Nicolas Revollo"/>
    <s v="Juan Sanchéz"/>
    <s v="Complete"/>
    <s v="N. A."/>
    <s v="55136 - Fixed_x000a_57148 - CLOUD"/>
    <s v="Cloud Operations"/>
  </r>
  <r>
    <s v="P0291"/>
    <s v="UNA - Unisalud - Ret"/>
    <s v="Unisalud"/>
    <s v="Ret"/>
    <x v="12"/>
    <s v="Operación"/>
    <x v="13"/>
    <x v="0"/>
    <s v="Universidad Nacional"/>
    <s v="NUVU - Proyectos - Documentos - 00. Administrativos - Todos los documentos"/>
    <x v="1"/>
    <s v="Alejandra Gomez"/>
    <s v="Nicolas Revollo"/>
    <s v="Juan Sanchéz"/>
    <s v="In Progress"/>
    <s v="N. A."/>
    <n v="55203"/>
    <s v="No Aplica"/>
  </r>
  <r>
    <s v="P0311"/>
    <s v="CJU - Sistema integrado de Secretaría Técnica - Ret"/>
    <s v="Sistema integrado de Secretaría Técnica"/>
    <s v="Ret"/>
    <x v="13"/>
    <s v="Operación"/>
    <x v="14"/>
    <x v="1"/>
    <s v="Coljuegos S.A"/>
    <s v="CTO 323 - 2024"/>
    <x v="4"/>
    <s v="Karen Arandia"/>
    <s v="Moises Rojas"/>
    <s v="Brandon Ardila"/>
    <s v="Complete"/>
    <s v="N. A."/>
    <s v="55140 - Fixed_x000a_55141 - Ret_x000a_55142 - Ret SW_x000a_55143 - CLOUD"/>
    <s v="Brandon Ardila"/>
  </r>
  <r>
    <s v="P0294"/>
    <s v="UNA - Regalías Sikie - Cloud"/>
    <s v="Regalías Sikie"/>
    <s v="Cloud"/>
    <x v="12"/>
    <s v="Data"/>
    <x v="13"/>
    <x v="0"/>
    <s v="Universidad Nacional"/>
    <s v="NUVU - Proyectos - Documentos - 00. Administrativos - Todos los documentos"/>
    <x v="1"/>
    <s v="Alejandra Gomez"/>
    <s v="Nicolas Revollo"/>
    <s v="Juan Sanchéz"/>
    <s v="In Progress"/>
    <s v="N. A."/>
    <n v="55206"/>
    <s v="No Aplica"/>
  </r>
  <r>
    <s v="P0294"/>
    <s v="UNA - Regalías Sikie - Ret"/>
    <s v="Regalías Sikie"/>
    <s v="Ret"/>
    <x v="12"/>
    <s v="Operación"/>
    <x v="13"/>
    <x v="0"/>
    <s v="Universida Nacional"/>
    <s v="NUVU - Proyectos - Documentos - 00. Administrativos - Todos los documentos"/>
    <x v="1"/>
    <s v="Alejandra Gomez"/>
    <s v="Nicolas Revollo"/>
    <s v="Juan Sanchéz"/>
    <s v="In Progress"/>
    <m/>
    <n v="2600"/>
    <s v="Christyan Gutiérrez"/>
  </r>
  <r>
    <s v="P0294"/>
    <s v="UNA - Regalías Sikie - Ret"/>
    <s v="Regalías Sikie"/>
    <s v="Ret"/>
    <x v="12"/>
    <s v="Operación"/>
    <x v="13"/>
    <x v="0"/>
    <m/>
    <m/>
    <x v="1"/>
    <s v="Alejandra Gómez"/>
    <m/>
    <m/>
    <s v="In Progress"/>
    <m/>
    <m/>
    <m/>
  </r>
  <r>
    <s v="P0298"/>
    <s v="UNA - Fortinet - Fixed"/>
    <s v="Fortinet"/>
    <s v="Fixed"/>
    <x v="12"/>
    <s v="Implementación"/>
    <x v="13"/>
    <x v="0"/>
    <s v="Universidad Nacional"/>
    <s v="NUVU - Proyectos - Documentos - 00. Administrativos - Todos los documentos"/>
    <x v="1"/>
    <s v="Alejandra Gomez"/>
    <s v="Nicolas Revollo"/>
    <s v="Juan Sanchéz"/>
    <s v="In Progress"/>
    <s v="N. A."/>
    <s v="55190 - Fixed_x000a_55191 - CLOUD"/>
    <s v="Cloud Operations"/>
  </r>
  <r>
    <s v="P0308"/>
    <s v="EAF - Portal Colombia Aprende - Fixed"/>
    <s v="Portal Colombia Aprende"/>
    <s v="Fixed"/>
    <x v="14"/>
    <s v="Implementación"/>
    <x v="15"/>
    <x v="1"/>
    <s v="Universidad EAFIT"/>
    <s v="CONTRATO HIGH TECH SOFTWARE VF Final"/>
    <x v="2"/>
    <s v="Karen Arandia"/>
    <s v="Moises Rojas"/>
    <s v="Brandon Ardila"/>
    <s v="Complete"/>
    <s v="N. A."/>
    <s v="55146 - Fixed_x000a_55147 - Ret SW_x000a_55148 - CLOUD"/>
    <s v="Operations_Team_01"/>
  </r>
  <r>
    <s v="P0308"/>
    <s v="EAF - Portal Colombia Aprende - Ret SW"/>
    <s v="Portal Colombia Aprende"/>
    <s v="Ret SW"/>
    <x v="14"/>
    <s v="Software SW"/>
    <x v="15"/>
    <x v="1"/>
    <s v="Universidad EAFIT"/>
    <s v="CONTRATO HIGH TECH SOFTWARE VF Final"/>
    <x v="2"/>
    <s v="Karen Arandia"/>
    <s v="Moises Rojas"/>
    <s v="Brandon Ardila"/>
    <s v="Complete"/>
    <s v="N. A."/>
    <s v="55146 - Fixed_x000a_55147 - Ret SW_x000a_55148 - CLOUD"/>
    <s v="No Aplica"/>
  </r>
  <r>
    <s v="P0308"/>
    <s v="EAF - Portal Colombia Aprende - Cloud"/>
    <s v="Portal Colombia Aprende"/>
    <s v="Cloud"/>
    <x v="14"/>
    <s v="Data"/>
    <x v="15"/>
    <x v="1"/>
    <s v="Universidad EAFIT"/>
    <s v="CONTRATO HIGH TECH SOFTWARE VF Final"/>
    <x v="2"/>
    <s v="Karen Arandia"/>
    <s v="Moises Rojas"/>
    <s v="Brandon Ardila"/>
    <s v="Complete"/>
    <s v="N. A."/>
    <s v="55146 - Fixed_x000a_55147 - Ret SW_x000a_55148 - CLOUD"/>
    <s v="No Aplica"/>
  </r>
  <r>
    <s v="P0298"/>
    <s v="UNA - Fortinet - Cloud"/>
    <s v="Fortinet"/>
    <s v="Cloud"/>
    <x v="12"/>
    <s v="Data"/>
    <x v="13"/>
    <x v="0"/>
    <s v="Universidad Nacional"/>
    <s v="NUVU - Proyectos - Documentos - 00. Administrativos - Todos los documentos"/>
    <x v="1"/>
    <s v="Alejandra Gomez"/>
    <s v="Nicolas Revollo"/>
    <s v="Juan Sanchéz"/>
    <s v="In Progress"/>
    <s v="N. A."/>
    <s v="55190 - Fixed_x000a_55191 - CLOUD"/>
    <s v="No Aplica"/>
  </r>
  <r>
    <s v="P0317"/>
    <s v="FDN - Tableros BI - Fixed"/>
    <s v="Tableros BI"/>
    <s v="Fixed"/>
    <x v="15"/>
    <s v="Implementación"/>
    <x v="16"/>
    <x v="1"/>
    <s v="FND"/>
    <s v="Contrato 71 de 2024"/>
    <x v="4"/>
    <s v="Alejandra Gomez"/>
    <s v="Nicolas Revollo"/>
    <s v="Juan Sanchéz"/>
    <s v="Complete"/>
    <s v="N. A."/>
    <n v="55155"/>
    <s v="Operations_Team_01"/>
  </r>
  <r>
    <s v="P0290"/>
    <s v="FOA - Gestión Integral Mojana - Fixed"/>
    <s v="Gestión Integral Mojana"/>
    <s v="Fixed"/>
    <x v="16"/>
    <s v="Implementación"/>
    <x v="17"/>
    <x v="1"/>
    <s v="Fondo Adaptación"/>
    <s v="OC 126506"/>
    <x v="4"/>
    <s v="Karen Arandia"/>
    <s v="Carlos Sierra"/>
    <s v="Diego Saavedra"/>
    <s v="Complete"/>
    <s v="N. A."/>
    <s v="55151 - Fixed_x000a_55152 - Ret SW_x000a_55153 - CLOUD"/>
    <s v="Diego Saavedra"/>
  </r>
  <r>
    <s v="P0290"/>
    <s v="FOA - Gestión Integral Mojana - Ret SW"/>
    <s v="Gestión Integral Mojana"/>
    <s v="Ret SW"/>
    <x v="16"/>
    <s v="Software SW"/>
    <x v="17"/>
    <x v="1"/>
    <s v="Fondo Adaptación"/>
    <s v="OC 126506"/>
    <x v="4"/>
    <s v="Karen Arandia"/>
    <s v="Carlos Sierra"/>
    <s v="Diego Saavedra"/>
    <s v="Complete"/>
    <s v="N. A."/>
    <s v="55151 - Fixed_x000a_55152 - Ret SW_x000a_55153 - CLOUD"/>
    <s v="No Aplica"/>
  </r>
  <r>
    <s v="P0290"/>
    <s v="FOA - Gestión Integral Mojana - Cloud"/>
    <s v="Gestión Integral Mojana"/>
    <s v="Cloud"/>
    <x v="16"/>
    <s v="Data"/>
    <x v="17"/>
    <x v="1"/>
    <s v="Fondo Adaptación"/>
    <s v="OC 126506"/>
    <x v="4"/>
    <s v="Karen Arandia"/>
    <s v="Carlos Sierra"/>
    <s v="Diego Saavedra"/>
    <s v="Complete"/>
    <s v="N. A."/>
    <s v="55151 - Fixed_x000a_55152 - Ret SW_x000a_55153 - CLOUD"/>
    <s v="No Aplica"/>
  </r>
  <r>
    <s v="P0075"/>
    <s v="GLO - SmartCash - Operación - Cloud"/>
    <s v="SmartCash - Operación"/>
    <s v="Cloud"/>
    <x v="17"/>
    <s v="Data"/>
    <x v="18"/>
    <x v="1"/>
    <s v="Global Securities S.A"/>
    <s v="Cto CP Suite"/>
    <x v="2"/>
    <s v="Alejandra Gomez"/>
    <s v="Carlos Sierra"/>
    <s v="Angel Villasmil"/>
    <s v="Complete"/>
    <s v="Miguel.Carrillo"/>
    <n v="55154"/>
    <s v="No Aplica"/>
  </r>
  <r>
    <s v="P0346"/>
    <s v="ICF - Evolución Datalake Fase1 2025 - Fixed"/>
    <s v="Evolución Datalake Fase1 2025"/>
    <s v="Fixed"/>
    <x v="18"/>
    <s v="Implementación"/>
    <x v="19"/>
    <x v="1"/>
    <s v="Icfes"/>
    <s v="OC 142744"/>
    <x v="4"/>
    <s v="Ciliana Capera"/>
    <s v="Moises Rojas"/>
    <s v="Jairo Salas"/>
    <s v="Complete"/>
    <s v="N. A."/>
    <s v="55155 - Fixed_x000a_55156 - Ret_x000a_55157 - CLOUD_x000a_55158 - Ret  SW"/>
    <s v="Jairo Salas"/>
  </r>
  <r>
    <s v="P0346"/>
    <s v="ICF - Evolución Datalake Fase1 2025 - Ret"/>
    <s v="Evolución Datalake Fase1 2025"/>
    <s v="Ret"/>
    <x v="18"/>
    <s v="Operación"/>
    <x v="19"/>
    <x v="1"/>
    <s v="Icfes"/>
    <s v="OC 142744"/>
    <x v="4"/>
    <s v="Ciliana Capera"/>
    <s v="Moises Rojas"/>
    <s v="Jairo Salas"/>
    <s v="Complete"/>
    <s v="N. A."/>
    <s v="55155 - Fixed_x000a_55156 - Ret_x000a_55157 - CLOUD_x000a_55158 - Ret  SW"/>
    <s v="Jairo Salas"/>
  </r>
  <r>
    <s v="P0346"/>
    <s v="ICF - Evolución Datalake Fase1 2025 - Cloud"/>
    <s v="Evolución Datalake Fase1 2025"/>
    <s v="Cloud"/>
    <x v="18"/>
    <s v="Data"/>
    <x v="19"/>
    <x v="1"/>
    <s v="Icfes"/>
    <s v="OC 142744"/>
    <x v="4"/>
    <s v="Ciliana Capera"/>
    <s v="Moises Rojas"/>
    <s v="Jairo Salas"/>
    <s v="Complete"/>
    <s v="N. A."/>
    <s v="55155 - Fixed_x000a_55156 - Ret_x000a_55157 - CLOUD_x000a_55158 - Ret  SW"/>
    <s v="No Aplica"/>
  </r>
  <r>
    <s v="P0346"/>
    <s v="ICF - Evolución Datalake Fase1 2025 - Ret SW"/>
    <s v="Evolución Datalake Fase1 2025"/>
    <s v="Ret SW"/>
    <x v="18"/>
    <s v="Software SW"/>
    <x v="19"/>
    <x v="1"/>
    <s v="Icfes"/>
    <s v="OC 142744"/>
    <x v="4"/>
    <s v="Ciliana Capera"/>
    <s v="Moises Rojas"/>
    <s v="Jairo Salas"/>
    <s v="Complete"/>
    <s v="N. A."/>
    <s v="55155 - Fixed_x000a_55156 - Ret_x000a_55157 - CLOUD_x000a_55158 - Ret  SW"/>
    <s v="No Aplica"/>
  </r>
  <r>
    <s v="P0300"/>
    <s v="UNA - Laboratorios Virtuales - Cloud"/>
    <s v="Laboratorios Virtuales"/>
    <s v="Cloud"/>
    <x v="12"/>
    <s v="Data"/>
    <x v="13"/>
    <x v="0"/>
    <s v="Universidad Nacional"/>
    <s v="OSE 90 4001 2024 SOL 20036"/>
    <x v="1"/>
    <s v="Alejandra Gomez"/>
    <s v="Nicolas Revollo"/>
    <s v="Juan Sanchéz"/>
    <s v="Complete"/>
    <s v="N. A."/>
    <n v="55195"/>
    <s v="Cloud Operations"/>
  </r>
  <r>
    <s v="P0304"/>
    <s v="UNA - Editorial de UNAL - Cloud"/>
    <s v="Editorial de UNAL"/>
    <s v="Cloud"/>
    <x v="12"/>
    <s v="Data"/>
    <x v="13"/>
    <x v="0"/>
    <s v="Universidad Nacional"/>
    <s v="NUVU - Proyectos - 00. Administrativos - Todos los documentos"/>
    <x v="1"/>
    <s v="Alejandra Gomez"/>
    <s v="Nicolas Revollo"/>
    <s v="Juan Sanchéz"/>
    <s v="In Progress"/>
    <s v="N. A."/>
    <n v="55185"/>
    <s v="No Aplica"/>
  </r>
  <r>
    <s v="P0305"/>
    <s v="UNA - Repositorio - Cloud"/>
    <s v="Repositorio"/>
    <s v="Cloud"/>
    <x v="12"/>
    <s v="Data"/>
    <x v="13"/>
    <x v="0"/>
    <s v="Universidad Nacional"/>
    <s v="NUVU - Proyectos - Documentos - 00. Administrativos - Todos los documentos"/>
    <x v="1"/>
    <s v="Alejandra Gomez"/>
    <s v="Nicolas Revollo"/>
    <s v="Juan Sanchéz"/>
    <s v="In Progress"/>
    <s v="N. A."/>
    <n v="55200"/>
    <s v="No Aplica"/>
  </r>
  <r>
    <s v="P0306"/>
    <s v="UNA - HPC Registro y Matrícula - Cloud"/>
    <s v="HPC Registro y Matrícula"/>
    <s v="Cloud"/>
    <x v="12"/>
    <s v="Data"/>
    <x v="13"/>
    <x v="0"/>
    <s v="Universidad Nacional"/>
    <s v="NUVU - Proyectos - 00. Administrativo - Todos los documentos"/>
    <x v="1"/>
    <s v="Alejandra Gomez"/>
    <s v="Nicolas Revollo"/>
    <s v="Juan Sanchéz"/>
    <s v="In Progress"/>
    <s v="N. A."/>
    <n v="55194"/>
    <s v="No Aplica"/>
  </r>
  <r>
    <s v="P0316"/>
    <s v="MTC - Ciudades y territorios inteligentes Mintic - Ret"/>
    <s v="Ciudades y territorios inteligentes Mintic"/>
    <s v="Ret"/>
    <x v="19"/>
    <s v="Operación"/>
    <x v="20"/>
    <x v="1"/>
    <s v="Mintic"/>
    <s v="NUVU - Proyectos - 01. Habilitacion - Todos los documentos"/>
    <x v="5"/>
    <s v="Karen Arandia"/>
    <s v="Nicolas Revollo"/>
    <s v="Juan Sanchéz"/>
    <s v="Complete"/>
    <s v="N. A."/>
    <s v="55163 - Ret_x000a_55164 - Fixed_x000a_55165 - CLOUD"/>
    <s v="Operations_Team_01"/>
  </r>
  <r>
    <s v="P0316"/>
    <s v="MTC - Ciudades y territorios inteligentes Mintic - Fixed"/>
    <s v="Ciudades y territorios inteligentes Mintic"/>
    <s v="Fixed"/>
    <x v="19"/>
    <s v="Implementación"/>
    <x v="20"/>
    <x v="1"/>
    <s v="Mintic"/>
    <s v="NUVU - Proyectos - 01. Habilitacion - Todos los documentos"/>
    <x v="5"/>
    <s v="Karen Arandia"/>
    <s v="Nicolas Revollo"/>
    <s v="Juan Sanchéz"/>
    <s v="Complete"/>
    <s v="N. A."/>
    <s v="55163 - Ret_x000a_55164 - Fixed_x000a_55165 - CLOUD"/>
    <s v="Cloud Operations"/>
  </r>
  <r>
    <s v="P0316"/>
    <s v="MTC - Ciudades y territorios inteligentes Mintic - Cloud"/>
    <s v="Ciudades y territorios inteligentes Mintic"/>
    <s v="Cloud"/>
    <x v="19"/>
    <s v="Data"/>
    <x v="20"/>
    <x v="1"/>
    <s v="Mintic"/>
    <s v="NUVU - Proyectos - 01. Habilitacion - Todos los documentos"/>
    <x v="5"/>
    <s v="Karen Arandia"/>
    <s v="Nicolas Revollo"/>
    <s v="Juan Sanchéz"/>
    <s v="Complete"/>
    <s v="N. A."/>
    <s v="55163 - Ret_x000a_55164 - Fixed_x000a_55165 - CLOUD"/>
    <s v="No Aplica"/>
  </r>
  <r>
    <s v="P0309"/>
    <s v="MTC - Microcentros AI - Ret"/>
    <s v="Microcentros AI"/>
    <s v="Ret"/>
    <x v="19"/>
    <s v="Operación"/>
    <x v="20"/>
    <x v="1"/>
    <s v="Mintic"/>
    <s v="NUVU - Proyectos - Documentos - 01. Documentación Esencial - Todos los documentos"/>
    <x v="5"/>
    <s v="Karen Arandia"/>
    <s v="Carlos Sierra"/>
    <s v="Jose Gallego"/>
    <s v="Complete"/>
    <s v="N. A."/>
    <s v="55166 - Ret_x000a_55167 - CLOUD"/>
    <s v="Operations_Team_01"/>
  </r>
  <r>
    <s v="P0309"/>
    <s v="MTC - Microcentros AI - Cloud"/>
    <s v="Microcentros AI"/>
    <s v="Cloud"/>
    <x v="19"/>
    <s v="Data"/>
    <x v="20"/>
    <x v="1"/>
    <s v="Mintic"/>
    <s v="NUVU - Proyectos - Documentos - 01. Documentación Esencial - Todos los documentos"/>
    <x v="5"/>
    <s v="Karen Arandia"/>
    <s v="Carlos Sierra"/>
    <s v="Jose Gallego"/>
    <s v="Complete"/>
    <s v="N. A."/>
    <s v="55166 - Ret_x000a_55167 - CLOUD"/>
    <s v="No Aplica"/>
  </r>
  <r>
    <s v="P0301"/>
    <s v="SAN - Soporte y Mantenimiento Quipu 2024-25 - Ret"/>
    <s v="Soporte y Mantenimiento Quipu 2024-25"/>
    <s v="Ret"/>
    <x v="20"/>
    <s v="Operación"/>
    <x v="21"/>
    <x v="1"/>
    <s v="Dirección de Sanidad"/>
    <s v="Contrato 07-7-20157-24"/>
    <x v="4"/>
    <s v="Marcela Sanchéz"/>
    <s v="Carlos Sierra"/>
    <s v="Gersón Pineda"/>
    <s v="Complete"/>
    <s v="David.Gomez"/>
    <n v="55171"/>
    <s v="Operations_Team_01"/>
  </r>
  <r>
    <s v="P0307"/>
    <s v="SDH - Datalake Secretaria del Hábitat - Ret SW"/>
    <s v="Datalake Secretaria del Hábitat"/>
    <s v="Ret SW"/>
    <x v="21"/>
    <s v="Software SW"/>
    <x v="22"/>
    <x v="1"/>
    <s v="Secretaria Distrital del Hábitat"/>
    <s v="Contrato No 1558-2024"/>
    <x v="3"/>
    <s v="Alejandra Gomez"/>
    <s v="Moises Rojas"/>
    <s v="Jairo Salas"/>
    <s v="Complete"/>
    <s v="N. A."/>
    <s v="55172 - Ret SW_x000a_55173 - CLOUD_x000a_55174 - Ret"/>
    <s v="No Aplica"/>
  </r>
  <r>
    <s v="P0307"/>
    <s v="SDH - Datalake Secretaria del Hábitat - Cloud"/>
    <s v="Datalake Secretaria del Hábitat"/>
    <s v="Cloud"/>
    <x v="21"/>
    <s v="Data"/>
    <x v="22"/>
    <x v="1"/>
    <s v="Secretaria Distrital del Hábitat"/>
    <s v="Contrato No 1558-2024"/>
    <x v="3"/>
    <s v="Alejandra Gomez"/>
    <s v="Moises Rojas"/>
    <s v="Jairo Salas"/>
    <s v="Complete"/>
    <s v="N. A."/>
    <s v="55172 - Ret SW_x000a_55173 - CLOUD_x000a_55174 - Ret"/>
    <s v="No Aplica"/>
  </r>
  <r>
    <s v="P0307"/>
    <s v="SDH - Datalake Secretaria del Hábitat - Ret"/>
    <s v="Datalake Secretaria del Hábitat"/>
    <s v="Ret"/>
    <x v="21"/>
    <s v="Operación"/>
    <x v="22"/>
    <x v="1"/>
    <s v="Secretaria Distrital del Hábitat"/>
    <s v="Contrato No 1558-2024"/>
    <x v="3"/>
    <s v="Alejandra Gomez"/>
    <s v="Moises Rojas"/>
    <s v="Jairo Salas"/>
    <s v="Complete"/>
    <s v="N. A."/>
    <s v="55172 - Ret SW_x000a_55173 - CLOUD_x000a_55174 - Ret"/>
    <s v="Operations_Team_01"/>
  </r>
  <r>
    <s v="P0332"/>
    <s v="SOC - IA Sociedades 2024-2025 - Cloud"/>
    <s v="IA Sociedades 2024-2025"/>
    <s v="Cloud"/>
    <x v="22"/>
    <s v="Data"/>
    <x v="23"/>
    <x v="1"/>
    <s v="Supersociedades"/>
    <s v="OC139384 _x000a_00. Administrativo"/>
    <x v="6"/>
    <s v="Marcela Sanchéz"/>
    <s v="Carlos Sierra"/>
    <s v="Ariane Hernandez"/>
    <s v="Complete"/>
    <s v="Miguel.Carrillo"/>
    <s v="55175 - CLOUD_x000a_55176 - Ret"/>
    <s v="No Aplica"/>
  </r>
  <r>
    <s v="P0332"/>
    <s v="SOC - IA Sociedades 2024-2025 - Ret"/>
    <s v="IA Sociedades 2024-2025"/>
    <s v="Ret"/>
    <x v="22"/>
    <s v="Operación"/>
    <x v="23"/>
    <x v="1"/>
    <s v="Supersociedades"/>
    <s v="OC139384 _x000a_00. Administrativo"/>
    <x v="6"/>
    <s v="Marcela Sanchéz"/>
    <s v="Carlos Sierra"/>
    <s v="Ariane Hernandez"/>
    <s v="Complete"/>
    <s v="Miguel.Carrillo"/>
    <s v="55175 - CLOUD_x000a_55176 - Ret"/>
    <s v="Operations_Team_01"/>
  </r>
  <r>
    <s v="P0311"/>
    <s v="CJU - Sistema integrado de Secretaría Técnica - Fixed"/>
    <s v="Sistema integrado de Secretaría Técnica"/>
    <s v="Fixed"/>
    <x v="13"/>
    <s v="Implementación"/>
    <x v="14"/>
    <x v="1"/>
    <s v="Coljuegos S.A"/>
    <s v="CTO 323 - 2024"/>
    <x v="4"/>
    <s v="Karen Arandia"/>
    <s v="Moises Rojas"/>
    <s v="Brandon Ardila"/>
    <s v="In Progress"/>
    <s v="N. A."/>
    <s v="55140 - Fixed_x000a_55141 - Ret_x000a_55142 - Ret SW_x000a_55143 - CLOUD"/>
    <s v="Brandon Ardila"/>
  </r>
  <r>
    <s v="P0311"/>
    <s v="CJU - Sistema integrado de Secretaría Técnica - Ret SW"/>
    <s v="Sistema integrado de Secretaría Técnica"/>
    <s v="Ret SW"/>
    <x v="13"/>
    <s v="Software SW"/>
    <x v="14"/>
    <x v="1"/>
    <s v="Coljuegos S.A"/>
    <s v="CTO 323 - 2024"/>
    <x v="4"/>
    <s v="Karen Arandia"/>
    <s v="Moises Rojas"/>
    <s v="Brandon Ardila"/>
    <s v="In Progress"/>
    <s v="N. A."/>
    <s v="55140 - Fixed_x000a_55141 - Ret_x000a_55142 - Ret SW_x000a_55143 - CLOUD"/>
    <s v="No Aplica"/>
  </r>
  <r>
    <s v="P0311"/>
    <s v="CJU - Sistema integrado de Secretaría Técnica - Cloud"/>
    <s v="Sistema integrado de Secretaría Técnica"/>
    <s v="Cloud"/>
    <x v="13"/>
    <s v="Data"/>
    <x v="14"/>
    <x v="1"/>
    <s v="Coljuegos S.A"/>
    <s v="CTO 323 - 2024"/>
    <x v="4"/>
    <s v="Karen Arandia"/>
    <s v="Moises Rojas"/>
    <s v="Brandon Ardila"/>
    <s v="In Progress"/>
    <s v="N. A."/>
    <s v="55140 - Fixed_x000a_55141 - Ret_x000a_55142 - Ret SW_x000a_55143 - CLOUD"/>
    <s v="No Aplica"/>
  </r>
  <r>
    <s v="P0318"/>
    <s v="FDN - Servicios profesionales Arquitectura - Fixed"/>
    <s v="Servicios profesionales Arquitectura"/>
    <s v="Fixed"/>
    <x v="15"/>
    <s v="Implementación"/>
    <x v="16"/>
    <x v="0"/>
    <s v="FND"/>
    <s v="Pedido 4402419 HIGH TECH SOFTWARE SAS"/>
    <x v="3"/>
    <s v="Alejandra Gomez"/>
    <s v="Nicolas Revollo"/>
    <s v="Juan Sanchéz"/>
    <s v="In Progress"/>
    <s v="N. A."/>
    <s v="55149 - Fixed"/>
    <s v="Operations_Team_01"/>
  </r>
  <r>
    <s v="P0322"/>
    <s v="UCA - ODS 1512 - Soporte y Mtto Quipu 24-25 - Ret"/>
    <s v="ODS 1512 - Soporte y Mtto Quipu 24-25"/>
    <s v="Ret"/>
    <x v="23"/>
    <s v="Operación"/>
    <x v="24"/>
    <x v="1"/>
    <s v="Universidad de Caldas"/>
    <s v="ODS 1512-2024"/>
    <x v="2"/>
    <s v="Alejandra Gomez"/>
    <s v="Carlos Sierra"/>
    <s v="Sebastian Vidal"/>
    <s v="Complete"/>
    <s v="Valentina.Salazar"/>
    <n v="55181"/>
    <s v="Operations_Team_UCA"/>
  </r>
  <r>
    <s v="P0320"/>
    <s v="MMN - Cloud Sistema de Recaudo - Fixed"/>
    <s v="Cloud Sistema de Recaudo"/>
    <s v="Fixed"/>
    <x v="24"/>
    <s v="Implementación"/>
    <x v="25"/>
    <x v="0"/>
    <s v="Metro de Medellín"/>
    <s v="01. Documentación esencial"/>
    <x v="5"/>
    <s v="Daniela Muñoz"/>
    <s v="Nicolas Revollo"/>
    <s v="Juan Sanchéz"/>
    <s v="In Progress"/>
    <s v="N. A."/>
    <s v="55161 - Fixed_x000a_55162 - CLOUD"/>
    <s v="Cloud Operations"/>
  </r>
  <r>
    <s v="P0320"/>
    <s v="MMN - Cloud Sistema de Recaudo - Cloud"/>
    <s v="Cloud Sistema de Recaudo"/>
    <s v="Cloud"/>
    <x v="24"/>
    <s v="Data"/>
    <x v="25"/>
    <x v="0"/>
    <s v="Metro de Medellín"/>
    <s v="01. Documentación esencial"/>
    <x v="5"/>
    <s v="Daniela Muñoz"/>
    <s v="Nicolas Revollo"/>
    <s v="Juan Sanchéz"/>
    <s v="In Progress"/>
    <s v="N. A."/>
    <s v="55161 - Fixed_x000a_55162 - CLOUD"/>
    <s v="No Aplica"/>
  </r>
  <r>
    <s v="P0320"/>
    <s v="MMN - Cloud Sistema de Recaudo - Ret Other Vendors"/>
    <s v="Cloud Sistema de Recaudo"/>
    <s v="Ret Other Vendors"/>
    <x v="24"/>
    <s v="Operación"/>
    <x v="25"/>
    <x v="0"/>
    <s v="Metro de Medellín"/>
    <s v="01. Documentación esencial"/>
    <x v="5"/>
    <s v="Daniela Muñoz"/>
    <s v="Nicolas Revollo"/>
    <s v="Juan Sanchéz"/>
    <s v="In Progress"/>
    <s v="N. A."/>
    <s v="67635 - Other Vendor"/>
    <s v="No Aplica"/>
  </r>
  <r>
    <s v="P0320"/>
    <s v="MMN - Cloud Sistema de Recaudo - Ret "/>
    <s v="Cloud Sistema de Recaudo"/>
    <s v="Ret "/>
    <x v="24"/>
    <s v="Operación"/>
    <x v="25"/>
    <x v="0"/>
    <s v="Metro de Medellín"/>
    <s v="01. Documentación esencial"/>
    <x v="5"/>
    <s v="Daniela Muñoz"/>
    <s v="Nicolas Revollo"/>
    <s v="Juan Sanchéz"/>
    <s v="In Progress"/>
    <s v="N. A."/>
    <s v="70411 - Ret"/>
    <s v="No Aplica"/>
  </r>
  <r>
    <s v="P0334"/>
    <s v="SPD - Repositorio Único de Datos - Fixed"/>
    <s v="Repositorio Único de Datos"/>
    <s v="Fixed"/>
    <x v="25"/>
    <s v="Implementación"/>
    <x v="26"/>
    <x v="1"/>
    <s v="Superservicios"/>
    <s v="PO-140333_v1_20241227"/>
    <x v="7"/>
    <s v="Ciliana Capera"/>
    <s v="Moises Rojas"/>
    <s v="Santiago Villegas"/>
    <s v="In Progress"/>
    <s v="N. A."/>
    <s v="55177 - Fixed_x000a_55178 - Ret SW_x000a_55179 - CLOUD"/>
    <s v="Santiago Villegas"/>
  </r>
  <r>
    <s v="P0334"/>
    <s v="SPD - Repositorio Único de Datos - Ret SW"/>
    <s v="Repositorio Único de Datos"/>
    <s v="Ret SW"/>
    <x v="25"/>
    <s v="Software SW"/>
    <x v="26"/>
    <x v="0"/>
    <s v="Superservicios"/>
    <s v="PO-140333_v1_20241227"/>
    <x v="7"/>
    <s v="Ciliana Capera"/>
    <s v="Moises Rojas"/>
    <s v="Santiago Villegas"/>
    <s v="In Progress"/>
    <s v="N. A."/>
    <s v="55177 - Fixed_x000a_55178 - Ret SW_x000a_55179 - CLOUD"/>
    <s v="No Aplica"/>
  </r>
  <r>
    <s v="P0334"/>
    <s v="SPD - Repositorio Único de Datos - Cloud"/>
    <s v="Repositorio Único de Datos"/>
    <s v="Cloud"/>
    <x v="25"/>
    <s v="Data"/>
    <x v="26"/>
    <x v="0"/>
    <s v="Superservicios"/>
    <s v="PO-140333_v1_20241227"/>
    <x v="7"/>
    <s v="Ciliana Capera"/>
    <s v="Moises Rojas"/>
    <s v="Santiago Villegas"/>
    <s v="In Progress"/>
    <s v="N. A."/>
    <s v="55177 - Fixed_x000a_55178 - Ret SW_x000a_55179 - CLOUD"/>
    <s v="Santiago Villegas"/>
  </r>
  <r>
    <s v="P0336"/>
    <s v="UNA - Gestión de Información - Fixed"/>
    <s v="Gestión de Información"/>
    <s v="Fixed"/>
    <x v="12"/>
    <s v="Implementación"/>
    <x v="13"/>
    <x v="0"/>
    <s v="Universida Nacional"/>
    <s v="NUVU - Proyectos - Documentos - 00. Administrativo - Todos los documentos"/>
    <x v="1"/>
    <s v="Alejandra Gomez"/>
    <s v="Nicolas Revollo"/>
    <s v="Juan Sanchéz"/>
    <s v="In Progress"/>
    <s v="N. A."/>
    <s v="55191 - Fixed_x000a_55192 - Ret_x000a_55193 - CLOUD"/>
    <s v="Cloud Operations"/>
  </r>
  <r>
    <s v="P0336"/>
    <s v="UNA - Gestión de Información - Ret"/>
    <s v="Gestión de Información"/>
    <s v="Ret"/>
    <x v="12"/>
    <s v="Operación"/>
    <x v="13"/>
    <x v="0"/>
    <s v="Universida Nacional"/>
    <s v="NUVU - Proyectos - Documentos - 00. Administrativo - Todos los documentos"/>
    <x v="1"/>
    <s v="Alejandra Gomez"/>
    <s v="Nicolas Revollo"/>
    <s v="Juan Sanchéz"/>
    <s v="In Progress"/>
    <s v="N. A."/>
    <s v="55191 - Fixed_x000a_55192 - Ret_x000a_55193 - CLOUD"/>
    <s v="Cloud Operations"/>
  </r>
  <r>
    <s v="P0336"/>
    <s v="UNA - Gestión de Información - Cloud"/>
    <s v="Gestión de Información"/>
    <s v="Cloud"/>
    <x v="12"/>
    <s v="Data"/>
    <x v="13"/>
    <x v="0"/>
    <s v="Universida Nacional"/>
    <s v="NUVU - Proyectos - Documentos - 00. Administrativo - Todos los documentos"/>
    <x v="1"/>
    <s v="Alejandra Gomez"/>
    <s v="Nicolas Revollo"/>
    <s v="Juan Sanchéz"/>
    <s v="In Progress"/>
    <s v="N. A."/>
    <s v="55191 - Fixed_x000a_55192 - Ret_x000a_55193 - CLOUD"/>
    <s v="No Aplica"/>
  </r>
  <r>
    <s v="P0330"/>
    <s v="UNA - Servicios Quipu - Fixed"/>
    <s v="Servicios Quipu"/>
    <s v="Fixed"/>
    <x v="12"/>
    <s v="Implementación"/>
    <x v="13"/>
    <x v="1"/>
    <s v="Universidad Nacional"/>
    <s v="OEF 3"/>
    <x v="1"/>
    <s v="Alejandra Gomez"/>
    <s v="Carlos Sierra"/>
    <s v="Angel Villasmil"/>
    <s v="Complete"/>
    <s v="N. A."/>
    <n v="55201"/>
    <s v="Operations_Team_01"/>
  </r>
  <r>
    <s v="P0340"/>
    <s v="UNA - Facultad de ingenieria - Ret"/>
    <s v="Facultad de ingenieria"/>
    <s v="Ret"/>
    <x v="12"/>
    <s v="Operación"/>
    <x v="13"/>
    <x v="0"/>
    <s v="Universidad Nacional"/>
    <s v="NUVU - Proyectos - Documentos - 00. Administrativos - Todos los documentos"/>
    <x v="1"/>
    <s v="Alejandra Gomez"/>
    <s v="Nicolas Revollo"/>
    <s v="Juan Sanchéz"/>
    <s v="In Progress"/>
    <s v="N. A."/>
    <m/>
    <s v="Cloud Operations"/>
  </r>
  <r>
    <s v="P0340"/>
    <s v="UNA - Facultad de ingenieria - Cloud"/>
    <s v="Facultad de ingenieria"/>
    <s v="Cloud"/>
    <x v="12"/>
    <s v="Data"/>
    <x v="13"/>
    <x v="0"/>
    <s v="Universidad Nacional"/>
    <s v="NUVU - Proyectos - Documentos - 00. Administrativos - Todos los documentos"/>
    <x v="1"/>
    <s v="Alejandra Gomez"/>
    <s v="Nicolas Revollo"/>
    <s v="Juan Sanchéz"/>
    <s v="In Progress"/>
    <s v="N. A."/>
    <m/>
    <m/>
  </r>
  <r>
    <s v="P0341"/>
    <s v="BID - Development as a Service - Fixed"/>
    <s v="Development as a Service"/>
    <s v="Fixed"/>
    <x v="8"/>
    <s v="Implementación"/>
    <x v="9"/>
    <x v="0"/>
    <s v="Banco Interamericano de Desarrollo"/>
    <s v="PO 7000020361 &amp; PO 7000021280"/>
    <x v="8"/>
    <s v="Marcela Sanchéz"/>
    <s v="Carlos Sierra"/>
    <s v="Whitman Rojas"/>
    <s v="In Progress"/>
    <s v="N. A."/>
    <s v="55126 - Fixed_x000a_55127 - Ret_x000a_55128 - CLOUD_x000a_55129 - Ret SW"/>
    <s v="Whitman Rojas"/>
  </r>
  <r>
    <s v="P0181"/>
    <s v="WIT - Witty Operación - Ret"/>
    <s v="Witty Operación"/>
    <s v="Ret"/>
    <x v="26"/>
    <s v="Operación"/>
    <x v="27"/>
    <x v="1"/>
    <s v="Inversiones Kappi S.A.S"/>
    <s v="Contrato operación Kappi"/>
    <x v="9"/>
    <s v="Daniela Muñoz"/>
    <s v="Carlos Sierra"/>
    <s v="Angel Villasmil"/>
    <s v="Complete"/>
    <s v="Carlos.Aroca"/>
    <n v="55204"/>
    <s v="Operations_Team_01"/>
  </r>
  <r>
    <s v="P0296"/>
    <s v="SIC - Soporte infraestructura - Ret"/>
    <s v="Soporte infraestructura"/>
    <s v="Ret"/>
    <x v="27"/>
    <s v="Operación"/>
    <x v="28"/>
    <x v="1"/>
    <s v="SIC"/>
    <s v="OC 128682"/>
    <x v="4"/>
    <s v="Marcela Sanchéz"/>
    <s v="Carlos Sierra"/>
    <s v="Gustavo Galvis"/>
    <s v="Complete"/>
    <s v="Carlos.Aroca"/>
    <n v="55205"/>
    <s v="No Aplica"/>
  </r>
  <r>
    <s v="P0341"/>
    <s v="BID - Development as a Service - Ret"/>
    <s v="Development as a Service"/>
    <s v="Ret"/>
    <x v="8"/>
    <s v="Operación"/>
    <x v="9"/>
    <x v="0"/>
    <s v="Banco Interamericano de Desarrollo"/>
    <s v="PO 7000020361 &amp; PO 7000021280"/>
    <x v="8"/>
    <s v="Marcela Sanchéz"/>
    <s v="Carlos Sierra"/>
    <s v="Whitman Rojas"/>
    <s v="In Progress"/>
    <s v="N. A."/>
    <s v="55126 - Fixed_x000a_55127 - Ret_x000a_55128 - CLOUD_x000a_55129 - Ret SW"/>
    <s v="Whitman Rojas"/>
  </r>
  <r>
    <s v="P0341"/>
    <s v="BID - Development as a Service - Cloud"/>
    <s v="Development as a Service"/>
    <s v="Cloud"/>
    <x v="8"/>
    <s v="Data"/>
    <x v="9"/>
    <x v="0"/>
    <s v="Banco Interamericano de Desarrollo"/>
    <s v="PO 7000020361 &amp; PO 7000021280"/>
    <x v="8"/>
    <s v="Marcela Sanchéz"/>
    <s v="Carlos Sierra"/>
    <s v="Whitman Rojas"/>
    <s v="In Progress"/>
    <s v="N. A."/>
    <s v="55126 - Fixed_x000a_55127 - Ret_x000a_55128 - CLOUD_x000a_55129 - Ret SW"/>
    <s v="No Aplica"/>
  </r>
  <r>
    <s v="P0341"/>
    <s v="BID - Development as a Service - Ret SW"/>
    <s v="Development as a Service"/>
    <s v="Ret SW"/>
    <x v="8"/>
    <s v="Software SW"/>
    <x v="9"/>
    <x v="0"/>
    <s v="Banco Interamericano de Desarrollo"/>
    <s v="PO 7000020361 &amp; PO 7000021280"/>
    <x v="8"/>
    <s v="Marcela Sanchéz"/>
    <s v="Carlos Sierra"/>
    <s v="Whitman Rojas"/>
    <s v="In Progress"/>
    <s v="N. A."/>
    <s v="55126 - Fixed_x000a_55127 - Ret_x000a_55128 - CLOUD_x000a_55129 - Ret SW"/>
    <s v="No Aplica"/>
  </r>
  <r>
    <s v="P0343"/>
    <s v="FDN - Servicios de arquitectura - Cloud"/>
    <s v="Servicios de arquitectura"/>
    <s v="Cloud"/>
    <x v="15"/>
    <s v="Data"/>
    <x v="16"/>
    <x v="0"/>
    <s v="FND"/>
    <s v="Pedido 4402476"/>
    <x v="3"/>
    <s v="Alejandra Gomez"/>
    <s v="Nicolas Revollo"/>
    <s v="Juan Sanchéz"/>
    <s v="In Progress"/>
    <s v="N. A."/>
    <s v="57152 - CLOUD"/>
    <s v="No Aplica"/>
  </r>
  <r>
    <s v="P0344"/>
    <s v="UNA - Soporte y Mtto Quipu 2025 - Ret"/>
    <s v="Soporte y Mtto Quipu 2025"/>
    <s v="Ret"/>
    <x v="12"/>
    <s v="Operación"/>
    <x v="13"/>
    <x v="0"/>
    <s v="Universidad Nacional"/>
    <s v="NUVU - Proyectos - 00 Administrativo - Todos los documentos"/>
    <x v="1"/>
    <s v="Alejandra Gomez"/>
    <s v="Carlos Sierra"/>
    <s v="Angel Villasmil"/>
    <s v="In Progress"/>
    <s v="David.Gomez"/>
    <n v="55202"/>
    <s v="Operations_Team_01"/>
  </r>
  <r>
    <s v="P0354"/>
    <s v="ACA - Agente Cognitivo y Migración - Fixed"/>
    <s v="Agente Cognitivo y Migración"/>
    <s v="Fixed"/>
    <x v="2"/>
    <s v="Implementación"/>
    <x v="3"/>
    <x v="1"/>
    <s v="Alcadia de Cali"/>
    <s v="Sin Contrato"/>
    <x v="2"/>
    <s v="Karen Arandia"/>
    <s v="Nicolas Revollo"/>
    <s v="Juan Sanchéz"/>
    <s v="Complete"/>
    <s v="N. A."/>
    <s v="57143 - Fixed_x000a_57144 - CLOUD"/>
    <s v="Cloud Operations"/>
  </r>
  <r>
    <s v="P0354"/>
    <s v="ACA - Agente Cognitivo y Migración - Cloud"/>
    <s v="Agente Cognitivo y Migración"/>
    <s v="Cloud"/>
    <x v="2"/>
    <s v="Data"/>
    <x v="3"/>
    <x v="1"/>
    <s v="Alcadia de Cali"/>
    <s v="Sin Contrato"/>
    <x v="2"/>
    <s v="Karen Arandia"/>
    <s v="Nicolas Revollo"/>
    <s v="Juan Sanchéz"/>
    <s v="Complete"/>
    <s v="N. A."/>
    <s v="57143 - Fixed_x000a_57144 - CLOUD"/>
    <s v="No Aplica"/>
  </r>
  <r>
    <s v="P0347"/>
    <s v="PON - IAPOL-G - IA Generative - Fixed"/>
    <s v="IAPOL-G - IA Generative"/>
    <s v="Fixed"/>
    <x v="28"/>
    <s v="Implementación"/>
    <x v="29"/>
    <x v="0"/>
    <s v="Policia Nacional"/>
    <s v="OC-152418 _x000a_5. Documentos contractuales_x000a_"/>
    <x v="6"/>
    <s v="Marcela Sanchéz"/>
    <s v="Moises Rojas"/>
    <s v="Juan Goméz"/>
    <s v="In Progress"/>
    <s v="Victor.Castellanos"/>
    <s v="56833 - Fixed_x000a_56834 - Ret SW_x000a_56835 - Cloud"/>
    <s v="Juan Goméz"/>
  </r>
  <r>
    <s v="P0347"/>
    <s v="PON - IAPOL-G - IA Generative - Ret SW"/>
    <s v="IAPOL-G - IA Generative"/>
    <s v="Ret SW"/>
    <x v="28"/>
    <s v="Software SW"/>
    <x v="29"/>
    <x v="0"/>
    <s v="Policia Nacional"/>
    <s v="OC-152418 _x000a_5. Documentos contractuales_x000a_"/>
    <x v="6"/>
    <s v="Marcela Sanchéz"/>
    <s v="Moises Rojas"/>
    <s v="Juan Goméz"/>
    <s v="In Progress"/>
    <s v="Victor.Castellanos"/>
    <s v="56833 - Fixed_x000a_56834 - Ret SW_x000a_56835 - Cloud"/>
    <s v="No Aplica"/>
  </r>
  <r>
    <s v="P0347"/>
    <s v="PON - IAPOL-G - IA Generative - Cloud"/>
    <s v="IAPOL-G - IA Generative"/>
    <s v="Cloud"/>
    <x v="28"/>
    <s v="Data"/>
    <x v="29"/>
    <x v="0"/>
    <s v="Policia Nacional"/>
    <s v="OC-152418 _x000a_5. Documentos contractuales_x000a_"/>
    <x v="6"/>
    <s v="Marcela Sanchéz"/>
    <s v="Moises Rojas"/>
    <s v="Juan Goméz"/>
    <s v="In Progress"/>
    <s v="Victor.Castellanos"/>
    <s v="56833 - Fixed_x000a_56834 - Ret SW_x000a_56835 - Cloud"/>
    <s v="No Aplica"/>
  </r>
  <r>
    <s v="P0347"/>
    <s v="PON - IAPOL-G - IA Generative - Ret"/>
    <s v="IAPOL-G - IA Generative"/>
    <s v="Ret"/>
    <x v="28"/>
    <s v="Operación"/>
    <x v="29"/>
    <x v="0"/>
    <s v="Policia Nacional"/>
    <s v="OC-152418 _x000a_5. Documentos contractuales_x000a_"/>
    <x v="6"/>
    <s v="Marcela Sanchéz"/>
    <s v="Moises Rojas"/>
    <s v="Juan Goméz"/>
    <s v="In Progress"/>
    <s v="Victor.Castellanos"/>
    <s v="56833 - Fixed_x000a_56834 - Ret SW_x000a_56835 - Cloud"/>
    <s v="Victor.Castellanos"/>
  </r>
  <r>
    <s v="P0347"/>
    <s v="PON - IAPOL-G - IA Generative - Other Vendors"/>
    <s v="IAPOL-G - IA Generative"/>
    <s v="Other Vendors"/>
    <x v="28"/>
    <s v="Operación"/>
    <x v="29"/>
    <x v="0"/>
    <s v="Policia Nacional"/>
    <s v="OC-152418 _x000a_5. Documentos contractuales_x000a_"/>
    <x v="6"/>
    <s v="Marcela Sanchéz"/>
    <s v="Moises Rojas"/>
    <s v="Juan Goméz"/>
    <s v="In Progress"/>
    <s v="Victor.Castellanos"/>
    <s v="56833 - Fixed_x000a_56834 - Ret SW_x000a_56835 - Cloud"/>
    <s v="Victor.Castellanos"/>
  </r>
  <r>
    <s v="P0348"/>
    <s v="CSJ - Digitalización archivo físico - Cloud"/>
    <s v="Digitalización archivo físico"/>
    <s v="Cloud"/>
    <x v="11"/>
    <s v="Data"/>
    <x v="12"/>
    <x v="1"/>
    <s v="Consejo Superior de la Judicatura"/>
    <s v="Pendiente el contrato"/>
    <x v="3"/>
    <s v="Ciliana Capera"/>
    <s v="Moises Rojas"/>
    <s v="Gersón Pineda"/>
    <s v="Complete"/>
    <s v="N. A."/>
    <s v="57146 - CLOUD_x000a_57147 - Fixed"/>
    <s v="No Aplica"/>
  </r>
  <r>
    <s v="P0348"/>
    <s v="CSJ - Digitalización archivo físico - Fixed"/>
    <s v="Digitalización archivo físico"/>
    <s v="Fixed"/>
    <x v="11"/>
    <s v="Implementación"/>
    <x v="12"/>
    <x v="1"/>
    <s v="Consejo Superior de la Judicatura"/>
    <s v="Pendiente el contrato"/>
    <x v="3"/>
    <s v="Ciliana Capera"/>
    <s v="Moises Rojas"/>
    <s v="Gersón Pineda"/>
    <s v="Complete"/>
    <s v="N. A."/>
    <s v="57146 - CLOUD_x000a_57147 - Fixed"/>
    <s v="Gersón Pineda"/>
  </r>
  <r>
    <s v="P0272"/>
    <s v="CSJ - Migración AWS - Cloud"/>
    <s v="Migración AWS"/>
    <s v="Cloud"/>
    <x v="11"/>
    <s v="Data"/>
    <x v="12"/>
    <x v="1"/>
    <s v="Consejo Superior de la Judicatura"/>
    <s v="OC 122576"/>
    <x v="3"/>
    <s v="Andres Barrantes"/>
    <s v="Moises Rojas"/>
    <s v="Gerson Pineda"/>
    <s v="Complete"/>
    <s v="N. A."/>
    <s v="55136 - Fixed_x000a_57148 - CLOUD"/>
    <s v="No Aplica"/>
  </r>
  <r>
    <s v="P0312"/>
    <s v="BLD - All-Start Program LATAM - Internal"/>
    <s v="All-Start Program LATAM"/>
    <s v="Internal"/>
    <x v="0"/>
    <s v="Interno"/>
    <x v="0"/>
    <x v="0"/>
    <s v="N.A."/>
    <s v="N.A."/>
    <x v="0"/>
    <s v="N.A."/>
    <s v="N.A."/>
    <s v="N.A."/>
    <s v="In Progress"/>
    <s v="N. A."/>
    <n v="5045"/>
    <s v="No Aplica"/>
  </r>
  <r>
    <s v="P0351"/>
    <s v="CSJ - PoC Agente para exposición contenido - Cloud"/>
    <s v="PoC Agente para exposición contenido"/>
    <s v="Cloud"/>
    <x v="11"/>
    <s v="Data"/>
    <x v="12"/>
    <x v="1"/>
    <s v="Consejo Superior de la Judicatura"/>
    <s v="Sin contrato"/>
    <x v="3"/>
    <s v="Ciliana Capera"/>
    <s v="Moises Rojas"/>
    <s v="Gerson Pineda"/>
    <s v="Complete"/>
    <s v="N. A."/>
    <s v="57149 - CLOUD_x000a_57150 - Fixed_x000a_57151 - Ret SW"/>
    <s v="No Aplica"/>
  </r>
  <r>
    <s v="P0351"/>
    <s v="CSJ - PoC Agente para exposición contenido - Fixed"/>
    <s v="PoC Agente para exposición contenido"/>
    <s v="Fixed"/>
    <x v="11"/>
    <s v="Implementación"/>
    <x v="12"/>
    <x v="1"/>
    <s v="Consejo Superior de la Judicatura"/>
    <s v="Sin contrato"/>
    <x v="3"/>
    <s v="Ciliana Capera"/>
    <s v="Moises Rojas"/>
    <s v="Gersón Pineda"/>
    <s v="Complete"/>
    <s v="N. A."/>
    <s v="57149 - CLOUD_x000a_57150 - Fixed_x000a_57151 - Ret SW"/>
    <s v="Gersón Pineda"/>
  </r>
  <r>
    <s v="P0351"/>
    <s v="CSJ - PoC Agente para exposición contenido - Ret SW"/>
    <s v="PoC Agente para exposición contenido"/>
    <s v="Ret SW"/>
    <x v="11"/>
    <s v="Software SW"/>
    <x v="12"/>
    <x v="1"/>
    <s v="Consejo Superior de la Judicatura"/>
    <s v="Sin contrato"/>
    <x v="3"/>
    <s v="Ciliana Capera"/>
    <s v="Moises Rojas"/>
    <s v="Gerson Pineda"/>
    <s v="Complete"/>
    <s v="N. A."/>
    <s v="57149 - CLOUD_x000a_57150 - Fixed_x000a_57151 - Ret SW"/>
    <s v="No Aplica"/>
  </r>
  <r>
    <s v="P0349"/>
    <s v="FOA - Evolución Integral Mojana - Cloud"/>
    <s v="Evolución Integral Mojana"/>
    <s v="Cloud"/>
    <x v="16"/>
    <s v="Data"/>
    <x v="17"/>
    <x v="0"/>
    <s v="Fondo Adaptación"/>
    <s v="OC146151-_x000a_5.Documentos Contractuales"/>
    <x v="6"/>
    <s v="Karen Arandia"/>
    <s v="Carlos Sierra"/>
    <s v="Gustavo Galvis"/>
    <s v="In Progress"/>
    <s v="N. A."/>
    <s v="57153 - CLOUD_x000a_57154 - Fixed_x000a_57155 - Ret_x000a_57156 - Ret SW"/>
    <s v="N. A."/>
  </r>
  <r>
    <s v="P0349"/>
    <s v="FOA - Evolución Integral Mojana - Fixed"/>
    <s v="Evolución Integral Mojana"/>
    <s v="Fixed"/>
    <x v="16"/>
    <s v="Implementación"/>
    <x v="17"/>
    <x v="0"/>
    <s v="Fondo Adaptación"/>
    <s v="OC146151_x000a_5.Documentos Contractuales"/>
    <x v="6"/>
    <s v="Karen Arandia"/>
    <s v="Carlos Sierra"/>
    <s v="Gustavo Galvis"/>
    <s v="In Progress"/>
    <s v="N. A."/>
    <s v="57153 - CLOUD_x000a_57154 - Fixed_x000a_57155 - Ret_x000a_57156 - Ret SW"/>
    <s v="Diego Saavedra"/>
  </r>
  <r>
    <s v="P0349"/>
    <s v="FOA - Evolución Integral Mojana - Ret"/>
    <s v="Evolución Integral Mojana"/>
    <s v="Ret"/>
    <x v="16"/>
    <s v="Operación"/>
    <x v="17"/>
    <x v="0"/>
    <s v="Fondo Adaptación"/>
    <s v="OC146151_x000a_5.Documentos Contractuales"/>
    <x v="6"/>
    <s v="Karen Arandia"/>
    <s v="Carlos Sierra"/>
    <s v="Gustavo Galvis"/>
    <s v="In Progress"/>
    <s v="Carlos.Aroca"/>
    <s v="57153 - CLOUD_x000a_57154 - Fixed_x000a_57155 - Ret_x000a_57156 - Ret SW"/>
    <s v="Ronald.Porras"/>
  </r>
  <r>
    <s v="P0349"/>
    <s v="FOA - Evolución Integral Mojana - Ret SW"/>
    <s v="Evolución Integral Mojana"/>
    <s v="Ret SW"/>
    <x v="16"/>
    <s v="Software SW"/>
    <x v="17"/>
    <x v="0"/>
    <s v="Fondo Adaptación"/>
    <s v="OC146151_x000a_5.Documentos Contractuales"/>
    <x v="6"/>
    <s v="Karen Arandia"/>
    <s v="Carlos Sierra"/>
    <s v="Gustavo Galvis"/>
    <s v="In Progress"/>
    <s v="N. A."/>
    <s v="57153 - CLOUD_x000a_57154 - Fixed_x000a_57155 - Ret_x000a_57156 - Ret SW"/>
    <s v="No Aplica"/>
  </r>
  <r>
    <s v="P0349"/>
    <s v="FOA - Evolución Integral Mojana - Ret Other Vendors"/>
    <s v="Evolución Integral Mojana"/>
    <s v="Ret Other Vendors"/>
    <x v="16"/>
    <s v="Operación"/>
    <x v="17"/>
    <x v="0"/>
    <s v="Fondo Adaptación"/>
    <s v="OC146151_x000a_5.Documentos Contractuales"/>
    <x v="6"/>
    <s v="Karen Arandia"/>
    <s v="Carlos Sierra"/>
    <s v="Gustavo Galvis"/>
    <s v="In Progress"/>
    <s v="N. A."/>
    <s v="67635 - Other Vendor"/>
    <s v="No Aplica"/>
  </r>
  <r>
    <s v="P0350"/>
    <s v="UNA - Facultad de Derecho concurso méritos - Cloud"/>
    <s v="Facultad de Derecho concurso méritos"/>
    <s v="Cloud"/>
    <x v="12"/>
    <s v="Data"/>
    <x v="13"/>
    <x v="0"/>
    <s v="Universida Nacional"/>
    <s v="NUVU - Proyectos - Documentos - 00. Administrativos - Todos los documentos"/>
    <x v="1"/>
    <s v="Alejandra Gomez"/>
    <s v="Nicolas Revollo"/>
    <s v="Juan Sanchéz"/>
    <s v="In Progress"/>
    <s v="N. A."/>
    <s v="57159 - CLOUD_x000a_57160 - Ret"/>
    <s v="No Aplica"/>
  </r>
  <r>
    <s v="P0350"/>
    <s v="UNA - Facultad de Derecho concurso méritos - Ret"/>
    <s v="Facultad de Derecho concurso méritos"/>
    <s v="Ret"/>
    <x v="12"/>
    <s v="Operación"/>
    <x v="13"/>
    <x v="0"/>
    <s v="Universida Nacional"/>
    <s v="NUVU - Proyectos - Documentos - 00. Administrativos - Todos los documentos"/>
    <x v="1"/>
    <s v="Alejandra Gomez"/>
    <s v="Nicolas Revollo"/>
    <s v="Juan Sanchéz"/>
    <s v="In Progress"/>
    <s v="N. A."/>
    <s v="57159 - CLOUD_x000a_57160 - Ret"/>
    <s v="Cloud Operations"/>
  </r>
  <r>
    <s v="P0352"/>
    <s v="UNA - OSE 26 Admisiones - Cloud"/>
    <s v="OSE 26 Admisiones"/>
    <s v="Cloud"/>
    <x v="12"/>
    <s v="Data"/>
    <x v="13"/>
    <x v="0"/>
    <s v="Universidad Nacional"/>
    <s v="NUVU - Proyectos - Documentos - 00. Administrativos - Todos los documentos"/>
    <x v="1"/>
    <s v="Alejandra Gomez"/>
    <s v="Nicolas Revollo"/>
    <s v="Juan Sanchéz"/>
    <s v="In Progress"/>
    <s v="N. A."/>
    <s v="57866 - Cloud"/>
    <s v="No Aplica"/>
  </r>
  <r>
    <s v="P0321"/>
    <s v="AGR - Multicash Operación - Cloud"/>
    <s v="Multicash Operación"/>
    <s v="Cloud"/>
    <x v="4"/>
    <s v="Data"/>
    <x v="5"/>
    <x v="1"/>
    <s v="Fiduagraria - Multicash"/>
    <s v="Otrosí No 2 Contrato 040 de 2021"/>
    <x v="2"/>
    <s v="Alejandra Gomez"/>
    <s v="Carlos Sierra"/>
    <s v="Angel Villasmil"/>
    <s v="Complete"/>
    <m/>
    <m/>
    <m/>
  </r>
  <r>
    <s v="P0321"/>
    <s v="AGR - Quicksight Operación  - Cloud"/>
    <s v="Quicksight Operación "/>
    <s v="Cloud"/>
    <x v="4"/>
    <s v="Data"/>
    <x v="5"/>
    <x v="1"/>
    <s v="Fiduagraria- CP Suite"/>
    <s v="OTROSI 3 CTO 032-2021. HIGH TECH"/>
    <x v="2"/>
    <s v="Alejandra Gomez"/>
    <s v="Carlos Sierra"/>
    <s v="Angel Villasmil"/>
    <s v="Complete"/>
    <m/>
    <m/>
    <m/>
  </r>
  <r>
    <s v="P0321"/>
    <s v="AGR - Snaptask Operación  - Ret SW"/>
    <s v="Snaptask Operación "/>
    <s v="Ret SW"/>
    <x v="4"/>
    <s v="Software SW"/>
    <x v="5"/>
    <x v="1"/>
    <s v="Fiduagraria - Quicksight "/>
    <s v="OTROSI 3 CTO 037-2021. HIGH TECH."/>
    <x v="2"/>
    <s v="Alejandra Gomez"/>
    <s v="Carlos Sierra"/>
    <s v="Angel Villasmil"/>
    <s v="Complete"/>
    <m/>
    <m/>
    <m/>
  </r>
  <r>
    <s v="P0353"/>
    <s v="UNA - OSE 43 Moodle Extensión - Cloud"/>
    <s v="OSE 43 Moodle Extensión"/>
    <s v="Cloud"/>
    <x v="12"/>
    <s v="Data"/>
    <x v="13"/>
    <x v="0"/>
    <s v="Universidad Nacional"/>
    <s v="NUVU - Proyectos - Documentos - 00. Administrativos - Todos los documentos"/>
    <x v="1"/>
    <s v="Alejandra Gomez"/>
    <s v="Nicolas Revollo"/>
    <s v="Juan Sanchéz"/>
    <s v="In Progress"/>
    <s v="N. A."/>
    <s v="57867 - Cloud"/>
    <s v="No Aplica"/>
  </r>
  <r>
    <s v="P0353"/>
    <s v="UNA - OSE 43 Moodle Extensión - Ret"/>
    <s v="OSE 43 Moodle Extensión"/>
    <s v="Ret"/>
    <x v="12"/>
    <s v="Operación"/>
    <x v="13"/>
    <x v="0"/>
    <s v="Universidad Nacional"/>
    <s v="NUVU - Proyectos - Documentos - 00. Administrativos - Todos los documentos"/>
    <x v="1"/>
    <s v="Alejandra Gomez"/>
    <s v="Nicolas Revollo"/>
    <s v="Juan Sanchéz"/>
    <s v="In Progress"/>
    <m/>
    <n v="2623"/>
    <m/>
  </r>
  <r>
    <s v="P0355"/>
    <s v="UNA - Dinara de UNAL - Ret"/>
    <s v="Dinara de UNAL"/>
    <s v="Ret"/>
    <x v="12"/>
    <s v="Operación"/>
    <x v="13"/>
    <x v="0"/>
    <s v="Universidad Nacional"/>
    <s v="NUVU - Proyectos - Documentos - 00. Administrativos - Todos los documentos"/>
    <x v="1"/>
    <s v="Alejandra Gomez"/>
    <s v="Nicolas Revollo"/>
    <s v="Juan Sanchéz"/>
    <s v="In Progress"/>
    <m/>
    <n v="2618"/>
    <m/>
  </r>
  <r>
    <s v="P0355"/>
    <s v="UNA - Dinara de UNAL - Cloud"/>
    <s v="Dinara de UNAL"/>
    <s v="Cloud"/>
    <x v="12"/>
    <s v="Data"/>
    <x v="13"/>
    <x v="0"/>
    <s v="Universidad Nacional"/>
    <s v="NUVU - Proyectos - Documentos - 00. Administrativos - Todos los documentos"/>
    <x v="1"/>
    <s v="Alejandra Gomez"/>
    <s v="Nicolas Revollo"/>
    <s v="Juan Sanchéz"/>
    <s v="In Progress"/>
    <s v="N. A."/>
    <s v="57861 - Cloud"/>
    <s v="No Aplica"/>
  </r>
  <r>
    <s v="P0356"/>
    <s v="UNA - Facultad de Derecho - Cloud"/>
    <s v="Facultad de Derecho"/>
    <s v="Cloud"/>
    <x v="12"/>
    <s v="Data"/>
    <x v="13"/>
    <x v="0"/>
    <s v="Universidad Nacional"/>
    <s v="NUVU - Proyectos - Documentos - 00. Administrativos - Todos los documentos"/>
    <x v="1"/>
    <s v="Alejandra Gomez"/>
    <s v="Nicolas Revollo"/>
    <s v="Juan Sanchéz"/>
    <s v="In Progress"/>
    <s v="N. A."/>
    <s v="57862 - Cloud"/>
    <s v="No Aplica"/>
  </r>
  <r>
    <s v="P0356"/>
    <s v="UNA - Facultad de Derecho - Ret"/>
    <s v="Facultad de Derecho"/>
    <s v="Ret"/>
    <x v="12"/>
    <s v="Operación"/>
    <x v="13"/>
    <x v="0"/>
    <s v="Universidad Nacional"/>
    <s v="NUVU - Proyectos - Documentos - 00. Administrativos - Todos los documentos"/>
    <x v="1"/>
    <s v="Alejandra Gomez"/>
    <s v="Nicolas Revollo"/>
    <s v="Juan Sanchéz"/>
    <s v="In Progress"/>
    <m/>
    <n v="2619"/>
    <m/>
  </r>
  <r>
    <s v="P0357"/>
    <s v="UNA - Unisalud - Cloud"/>
    <s v="Unisalud"/>
    <s v="Cloud"/>
    <x v="12"/>
    <s v="Data"/>
    <x v="13"/>
    <x v="0"/>
    <s v="Universidad Nacional"/>
    <s v="NUVU - Proyectos - Documentos - 00. Administrativos - Todos los documentos"/>
    <x v="1"/>
    <s v="Alejandra Gomez"/>
    <s v="Nicolas Revollo"/>
    <s v="Juan Sanchéz"/>
    <s v="In Progress"/>
    <s v="N. A."/>
    <s v="57865 - Cloud"/>
    <s v="No Aplica"/>
  </r>
  <r>
    <s v="P0358"/>
    <s v="CJU - Vigilancia y MET Plus - Fixed"/>
    <s v="Vigilancia y MET Plus"/>
    <s v="Fixed"/>
    <x v="13"/>
    <s v="Implementación"/>
    <x v="14"/>
    <x v="0"/>
    <s v="Coljuegos S.A"/>
    <s v="OC 145303 - 20250425"/>
    <x v="4"/>
    <s v="Karen Arandia"/>
    <s v="Moises Rojas"/>
    <s v="Brandon Ardila"/>
    <s v="In Progress"/>
    <s v="Fernando.Garcia"/>
    <s v="57245 - Fixed_x000a_57246 - CLOUD_x000a_57247 - Ret_x000a_57248 - Ret SW"/>
    <s v="Brandon Ardila"/>
  </r>
  <r>
    <s v="P0358"/>
    <s v="CJU - Vigilancia y MET Plus - Cloud"/>
    <s v="Vigilancia y MET Plus"/>
    <s v="Cloud"/>
    <x v="13"/>
    <s v="Data"/>
    <x v="14"/>
    <x v="0"/>
    <s v="Coljuegos S.A"/>
    <s v="OC 145303 - 20250425"/>
    <x v="4"/>
    <s v="Karen Arandia"/>
    <s v="Moises Rojas"/>
    <s v="Brandon Ardila"/>
    <s v="In Progress"/>
    <s v="Fernando.Garcia"/>
    <s v="57245 - Fixed_x000a_57246 - CLOUD_x000a_57247 - Ret_x000a_57248 - Ret SW"/>
    <s v="No Aplica"/>
  </r>
  <r>
    <s v="P0101"/>
    <s v="BLD - Product Houndoc Latam "/>
    <s v="Product Houndoc Latam"/>
    <s v="Internal"/>
    <x v="0"/>
    <s v="Interno"/>
    <x v="0"/>
    <x v="0"/>
    <s v="N.A."/>
    <s v="N.A."/>
    <x v="0"/>
    <s v="N.A."/>
    <s v="N.A."/>
    <s v="N.A."/>
    <s v="In Progress"/>
    <s v="N. A."/>
    <n v="5045"/>
    <s v="No Aplica"/>
  </r>
  <r>
    <s v="P0113"/>
    <s v="BLD - Producto - Houndoc - Internal"/>
    <s v="Producto - Houndoc"/>
    <s v="Internal"/>
    <x v="0"/>
    <s v="Interno"/>
    <x v="0"/>
    <x v="0"/>
    <s v="N.A."/>
    <s v="N.A."/>
    <x v="10"/>
    <s v="Fernando Ortega"/>
    <s v="N.A."/>
    <s v="N.A."/>
    <s v="In Progress"/>
    <s v="N. A."/>
    <n v="5053"/>
    <s v="No Aplica"/>
  </r>
  <r>
    <s v="P0358"/>
    <s v="CJU - Vigilancia y MET Plus - Ret"/>
    <s v="Vigilancia y MET Plus"/>
    <s v="Ret"/>
    <x v="13"/>
    <s v="Operación"/>
    <x v="14"/>
    <x v="0"/>
    <s v="Coljuegos S.A"/>
    <s v="OC 145303 - 20250425"/>
    <x v="4"/>
    <s v="Karen Arandia"/>
    <s v="Moises Rojas"/>
    <s v="Brandon Ardila"/>
    <s v="In Progress"/>
    <s v="Fernando.Garcia"/>
    <s v="57245 - Fixed_x000a_57246 - CLOUD_x000a_57247 - Ret_x000a_57248 - Ret SW"/>
    <s v="Brandon Ardila"/>
  </r>
  <r>
    <s v="P0358"/>
    <s v="CJU - Vigilancia y MET Plus - Ret SW"/>
    <s v="Vigilancia y MET Plus"/>
    <s v="Ret SW"/>
    <x v="13"/>
    <s v="Software SW"/>
    <x v="14"/>
    <x v="0"/>
    <s v="Coljuegos S.A"/>
    <s v="OC 145303 - 20250425"/>
    <x v="4"/>
    <s v="Karen Arandia"/>
    <s v="Moises Rojas"/>
    <s v="Brandon Ardila"/>
    <s v="In Progress"/>
    <s v="Fernando.Garcia"/>
    <s v="57245 - Fixed_x000a_57246 - CLOUD_x000a_57247 - Ret_x000a_57248 - Ret SW"/>
    <s v="No Aplica"/>
  </r>
  <r>
    <s v="P0359"/>
    <s v="UNA - Contrato 4 - Servicio Computacion - Cloud"/>
    <s v="Contrato 4 - Servicio Computacion"/>
    <s v="Cloud"/>
    <x v="12"/>
    <s v="Data"/>
    <x v="13"/>
    <x v="0"/>
    <s v="Universidad Nacional"/>
    <s v="NUVU - Proyectos - Documentos - 00. Administrativos - Todos los documentos"/>
    <x v="1"/>
    <s v="Alejandra Gomez"/>
    <s v="Nicolas Revollo"/>
    <s v="Juan Sanchéz"/>
    <s v="In Progress"/>
    <s v="Carlos.Aroca"/>
    <s v="57859 - Cloud_x000a_57868 - Ret"/>
    <s v="No Aplica"/>
  </r>
  <r>
    <s v="P0359"/>
    <s v="UNA - Contrato 4 - Servicio Computacion - Ret"/>
    <s v="Contrato 4 - Servicio Computacion"/>
    <s v="Ret"/>
    <x v="12"/>
    <s v="Operación"/>
    <x v="13"/>
    <x v="0"/>
    <s v="Universidad Nacional"/>
    <s v="NUVU - Proyectos - Documentos - 00. Administrativos - Todos los documentos"/>
    <x v="1"/>
    <s v="Alejandra Gomez"/>
    <s v="Nicolas Revollo"/>
    <s v="Juan Sanchéz"/>
    <s v="In Progress"/>
    <s v="Carlos.Aroca"/>
    <s v="57859 - Cloud_x000a_57868 - Ret"/>
    <s v="Cloud Operations"/>
  </r>
  <r>
    <s v="P0360"/>
    <s v="UNA - Ofc Gestion Ambiental - Cloud"/>
    <s v="Ofc Gestion Ambiental"/>
    <s v="Cloud"/>
    <x v="12"/>
    <s v="Data"/>
    <x v="13"/>
    <x v="0"/>
    <s v="Universidad Nacional"/>
    <s v="NUVU - Proyectos - Documentos - 00. Administrativos - Todos los documentos"/>
    <x v="1"/>
    <s v="Alejandra Gomez"/>
    <s v="Nicolas Revollo"/>
    <s v="Juan Sanchéz"/>
    <s v="In Progress"/>
    <s v="N. A."/>
    <s v="57863 - Cloud_x000a_57864 - Fixed"/>
    <s v="No Aplica"/>
  </r>
  <r>
    <s v="P0360"/>
    <s v="UNA - Ofc Gestion Ambiental - Fixed"/>
    <s v="Ofc Gestion Ambiental"/>
    <s v="Fixed"/>
    <x v="12"/>
    <s v="Implementación"/>
    <x v="13"/>
    <x v="0"/>
    <s v="Universidad Nacional"/>
    <s v="NUVU - Proyectos - Documentos - 00. Administrativos - Todos los documentos"/>
    <x v="1"/>
    <s v="Alejandra Gomez"/>
    <s v="Nicolas Revollo"/>
    <s v="Juan Sanchéz"/>
    <s v="In Progress"/>
    <s v="N. A."/>
    <s v="57863 - Cloud_x000a_57864 - Fixed"/>
    <s v="Cloud Operations"/>
  </r>
  <r>
    <s v="P0361"/>
    <s v="CSJ - Continuidad Operación AWS - Cloud"/>
    <s v="Continuidad Operación AWS"/>
    <s v="Cloud"/>
    <x v="11"/>
    <s v="Data"/>
    <x v="12"/>
    <x v="0"/>
    <s v="Consejo Superior de la Judicatura"/>
    <m/>
    <x v="3"/>
    <s v="Ciliana Capera"/>
    <s v="Nicolas Revollo"/>
    <s v="Juan Sanchéz"/>
    <s v="In Progress"/>
    <m/>
    <n v="58571"/>
    <s v="No Aplica"/>
  </r>
  <r>
    <s v="P0361"/>
    <s v="CSJ - Continuidad Operación AWS - Ret"/>
    <s v="Continuidad Operación AWS"/>
    <s v="Ret"/>
    <x v="11"/>
    <s v="Operación"/>
    <x v="12"/>
    <x v="0"/>
    <s v="Consejo Superior de la Judicatura"/>
    <m/>
    <x v="3"/>
    <s v="Ciliana Capera"/>
    <s v="Nicolas Revollo"/>
    <s v="Juan Sanchéz"/>
    <s v="In Progress"/>
    <m/>
    <n v="58572"/>
    <s v="Cloud Operations"/>
  </r>
  <r>
    <s v="P0361"/>
    <s v="CSJ - Continuidad Operación AWS - Ret Other Vendors"/>
    <s v="Continuidad Operación AWS"/>
    <s v="Ret Other Vendors"/>
    <x v="11"/>
    <s v="Operación"/>
    <x v="12"/>
    <x v="0"/>
    <s v="Consejo Superior de la Judicatura"/>
    <m/>
    <x v="3"/>
    <s v="Ciliana Capera"/>
    <s v="Nicolas Revollo"/>
    <s v="Juan Sanchéz"/>
    <s v="In Progress"/>
    <m/>
    <n v="58572"/>
    <s v="Cloud Operations"/>
  </r>
  <r>
    <s v="P0362"/>
    <s v="SAN - Soporte y Mantenimiento Quipu 2025 - Ret"/>
    <s v="Soporte y Mantenimiento Quipu 2025"/>
    <s v="Ret"/>
    <x v="20"/>
    <s v="Operación"/>
    <x v="21"/>
    <x v="0"/>
    <s v="Dirección de Sanidad"/>
    <s v="QUIPU 07-7-20048-25"/>
    <x v="8"/>
    <s v="Marcela Sanchéz"/>
    <s v="Carlos Sierra"/>
    <s v="Sebastian Vidal"/>
    <s v="In Progress"/>
    <s v="David.Gomez"/>
    <n v="58882"/>
    <s v="Operations_Team_01"/>
  </r>
  <r>
    <s v="P0362"/>
    <s v="SAN - Soporte y Mantenimiento Quipu 2025 - Fixed"/>
    <s v="Soporte y Mantenimiento Quipu 2025"/>
    <s v="Fixed"/>
    <x v="20"/>
    <s v="Implementación"/>
    <x v="21"/>
    <x v="1"/>
    <s v="Dirección de Sanidad"/>
    <s v="Contrato 07-7-20157-24"/>
    <x v="4"/>
    <s v="Marcela Sanchéz"/>
    <s v="Carlos Sierra"/>
    <s v="Sebastian Vidal"/>
    <s v="In Progress"/>
    <s v="David.Gomez"/>
    <n v="58883"/>
    <s v="Operations_Team_01"/>
  </r>
  <r>
    <s v="P0363"/>
    <s v="CAT - Agente Cognitivo e Infraestructura AWS - Cloud"/>
    <s v="Agente Cognitivo e Infraestructura AWS"/>
    <s v="Cloud"/>
    <x v="9"/>
    <s v="Data"/>
    <x v="10"/>
    <x v="0"/>
    <s v="Unidad Administrativa de Catastro"/>
    <s v="NUVU - Proyectos - 01 - Habilitadores - Todos los documentos"/>
    <x v="1"/>
    <s v="Alejandra Gomez"/>
    <s v="Carlos Sierra"/>
    <s v="Marcelo Bonivento"/>
    <s v="In Progress"/>
    <m/>
    <n v="9999"/>
    <s v="No Aplica"/>
  </r>
  <r>
    <s v="P0363"/>
    <s v="CAT - Agente Cognitivo e Infraestructura AWS - Ret"/>
    <s v="Agente Cognitivo e Infraestructura AWS"/>
    <s v="Ret"/>
    <x v="9"/>
    <s v="Operación"/>
    <x v="10"/>
    <x v="0"/>
    <s v="Unidad Administrativa de Catastro"/>
    <s v="NUVU - Proyectos - 01 - Habilitadores - Todos los documentos"/>
    <x v="1"/>
    <s v="Alejandra Gomez"/>
    <s v="Carlos Sierra"/>
    <s v="Marcelo Bonivento"/>
    <s v="In Progress"/>
    <m/>
    <n v="9999"/>
    <s v="Marcelo Bonivento"/>
  </r>
  <r>
    <s v="P0363"/>
    <s v="CAT - Agente Cognitivo e Infraestructura AWS - Ret SW"/>
    <s v="Agente Cognitivo e Infraestructura AWS"/>
    <s v="Ret SW"/>
    <x v="9"/>
    <s v="Software SW"/>
    <x v="10"/>
    <x v="0"/>
    <s v="Unidad Administrativa de Catastro"/>
    <s v="NUVU - Proyectos - 01 - Habilitadores - Todos los documentos"/>
    <x v="1"/>
    <s v="Alejandra Gomez"/>
    <s v="Carlos Sierra"/>
    <s v="Marcelo Bonivento"/>
    <s v="In Progress"/>
    <m/>
    <n v="9999"/>
    <s v="No Aplica"/>
  </r>
  <r>
    <s v="P0363"/>
    <s v="CAT - Agente Cognitivo e Infraestructura AWS - Fixed"/>
    <s v="Agente Cognitivo e Infraestructura AWS"/>
    <s v="Fixed"/>
    <x v="9"/>
    <s v="Implementación"/>
    <x v="10"/>
    <x v="0"/>
    <s v="Unidad Administrativa de Catastro"/>
    <s v="NUVU - Proyectos - 01 - Habilitadores - Todos los documentos"/>
    <x v="1"/>
    <s v="Alejandra Gomez"/>
    <s v="Carlos Sierra"/>
    <s v="Marcelo Bonivento"/>
    <s v="In Progress"/>
    <m/>
    <n v="9999"/>
    <s v="Marcelo Bonivento"/>
  </r>
  <r>
    <s v="P0364"/>
    <s v="UCA - Soporte y Mtto Quipu 2025 - Ret"/>
    <s v="Soporte y Mtto Quipu 2025"/>
    <s v="Ret"/>
    <x v="23"/>
    <s v="Operación"/>
    <x v="24"/>
    <x v="0"/>
    <s v="Universidad de Caldas"/>
    <s v="ODS 654 - 2025"/>
    <x v="1"/>
    <s v="Alejandra Gomez"/>
    <s v="Carlos Sierra"/>
    <s v="Sebastian Vidal"/>
    <s v="In Progress"/>
    <s v="Valentina.Salazar"/>
    <s v="65898 - Ret"/>
    <m/>
  </r>
  <r>
    <s v="P0364"/>
    <s v="UCA - Soporte y Mtto Quipu 2025 - Cloud"/>
    <s v="Soporte y Mtto Quipu 2025"/>
    <s v="Cloud"/>
    <x v="23"/>
    <s v="Data"/>
    <x v="24"/>
    <x v="0"/>
    <s v="Universidad de Caldas"/>
    <s v="ODS 654 - 2025"/>
    <x v="1"/>
    <s v="Alejandra Gomez"/>
    <s v="Carlos Sierra"/>
    <s v="Sebastian Vidal"/>
    <s v="In Progress"/>
    <s v="Valentina.Salazar"/>
    <s v="65899 - Cloud"/>
    <m/>
  </r>
  <r>
    <s v="P0365"/>
    <s v="ICF - Evolución Datalake Fase 2 2025 - Cloud"/>
    <s v="Evolución Datalake Fase 2 2025"/>
    <s v="Cloud"/>
    <x v="18"/>
    <s v="Data"/>
    <x v="19"/>
    <x v="1"/>
    <s v="Icfes"/>
    <s v="ICFES-555-2025"/>
    <x v="4"/>
    <s v="Ciliana Capera"/>
    <s v="Moises Rojas"/>
    <s v="Jairo Salas"/>
    <s v="In Progress"/>
    <s v="N. A."/>
    <m/>
    <m/>
  </r>
  <r>
    <s v="P0368"/>
    <s v="ACA - Fase 2 Datacali - Fixed"/>
    <s v="Fase 2 Datacali"/>
    <s v="Fixed"/>
    <x v="2"/>
    <s v="Implementación"/>
    <x v="3"/>
    <x v="1"/>
    <s v="Alcadia de Cali"/>
    <s v="No hay contrato"/>
    <x v="2"/>
    <s v="Karen Arandia"/>
    <s v="Carlos Sierra"/>
    <s v="Simon López"/>
    <s v="Complete"/>
    <m/>
    <m/>
    <m/>
  </r>
  <r>
    <s v="P0369"/>
    <s v="ACA - Agente Cognitivo y Soporte Migración - Fixed"/>
    <s v="Agente Cognitivo y Soporte Migración"/>
    <s v="Fixed"/>
    <x v="2"/>
    <s v="Implementación"/>
    <x v="3"/>
    <x v="1"/>
    <s v="Alcadia de Cali"/>
    <s v="PO-148314_v1_20250627"/>
    <x v="2"/>
    <s v="Karen Arandia"/>
    <s v="Carlos Sierra"/>
    <s v="Simon López"/>
    <s v="Complete"/>
    <m/>
    <m/>
    <m/>
  </r>
  <r>
    <s v="P0369"/>
    <s v="ACA - Agente Cognitivo y Soporte Migración - Cloud"/>
    <s v="Agente Cognitivo y Soporte Migración"/>
    <s v="Cloud"/>
    <x v="2"/>
    <s v="Data"/>
    <x v="3"/>
    <x v="1"/>
    <s v="Alcadia de Cali"/>
    <s v="PO-148314_v1_20250627"/>
    <x v="2"/>
    <s v="Karen Arandia"/>
    <s v="Nicolas Revollo"/>
    <s v="Juan Sanchéz"/>
    <s v="Complete"/>
    <m/>
    <m/>
    <m/>
  </r>
  <r>
    <s v="P0369"/>
    <s v="ACA - Agente Cognitivo y Soporte Migración - Ret"/>
    <s v="Agente Cognitivo y Soporte Migración"/>
    <s v="Ret"/>
    <x v="2"/>
    <s v="Operación"/>
    <x v="3"/>
    <x v="1"/>
    <s v="Alcadia de Cali"/>
    <s v="PO-148314_v1_20250627"/>
    <x v="2"/>
    <s v="Karen Arandia"/>
    <s v="Nicolas Revollo"/>
    <s v="Juan Sanchéz"/>
    <s v="Complete"/>
    <m/>
    <m/>
    <m/>
  </r>
  <r>
    <s v="P0369"/>
    <s v="ACA - Agente Cognitivo y Soporte Migración - Ret Other Vendors"/>
    <s v="Agente Cognitivo y Soporte Migración"/>
    <s v="Ret Other Vendors"/>
    <x v="2"/>
    <s v="Operación"/>
    <x v="3"/>
    <x v="1"/>
    <s v="Alcadia de Cali"/>
    <s v="PO-148314_v1_20250627"/>
    <x v="2"/>
    <s v="Karen Arandia"/>
    <s v="Carlos Sierra"/>
    <s v="Simon López"/>
    <s v="Complete"/>
    <m/>
    <m/>
    <m/>
  </r>
  <r>
    <s v="P0369"/>
    <s v="ACA - Agente Cognitivo y Soporte Migración - Ret SW"/>
    <s v="Agente Cognitivo y Soporte Migración"/>
    <s v="Ret SW"/>
    <x v="2"/>
    <s v="Software SW"/>
    <x v="3"/>
    <x v="1"/>
    <s v="Alcadia de Cali"/>
    <s v="PO-148314_v1_20250627"/>
    <x v="2"/>
    <s v="Karen Arandia"/>
    <s v="Carlos Sierra"/>
    <s v="Simon López"/>
    <s v="Complete"/>
    <m/>
    <m/>
    <m/>
  </r>
  <r>
    <s v="P0365"/>
    <s v="ICF - Evolución Datalake Fase 2 2025 - Fixed"/>
    <s v="Evolución Datalake Fase 2 2025"/>
    <s v="Fixed"/>
    <x v="18"/>
    <s v="Implementación"/>
    <x v="19"/>
    <x v="1"/>
    <s v="Icfes"/>
    <s v="ICFES-555-2025"/>
    <x v="4"/>
    <s v="Ciliana Capera"/>
    <s v="Moises Rojas"/>
    <s v="Jairo Salas"/>
    <s v="In Progress"/>
    <s v="N. A."/>
    <m/>
    <m/>
  </r>
  <r>
    <s v="P0365"/>
    <s v="ICF - Evolución Datalake Fase 2 2025 - Ret"/>
    <s v="Evolución Datalake Fase 2 2025"/>
    <s v="Ret"/>
    <x v="18"/>
    <s v="Operación"/>
    <x v="19"/>
    <x v="1"/>
    <s v="Icfes"/>
    <s v="ICFES-555-2025"/>
    <x v="4"/>
    <s v="Ciliana Capera"/>
    <s v="Moises Rojas"/>
    <s v="Jairo Salas"/>
    <s v="In Progress"/>
    <s v="N. A."/>
    <m/>
    <m/>
  </r>
  <r>
    <s v="P0365"/>
    <s v="ICF - Evolución Datalake Fase 2 2025 - Ret SW"/>
    <s v="Evolución Datalake Fase 2 2025"/>
    <s v="Ret SW"/>
    <x v="18"/>
    <s v="Software SW"/>
    <x v="19"/>
    <x v="1"/>
    <s v="Icfes"/>
    <s v="ICFES-555-2025"/>
    <x v="4"/>
    <s v="Ciliana Capera"/>
    <s v="Moises Rojas"/>
    <s v="Jairo Salas"/>
    <s v="In Progress"/>
    <s v="N. A."/>
    <m/>
    <m/>
  </r>
  <r>
    <s v="P0365"/>
    <s v="ICF - Evolución Datalake Fase 2 2025 - Ret Other Vendors"/>
    <s v="Evolución Datalake Fase 2 2025"/>
    <s v="Ret Other Vendors"/>
    <x v="18"/>
    <s v="Operación"/>
    <x v="19"/>
    <x v="0"/>
    <s v="Icfes"/>
    <s v="ICFES-555-2025"/>
    <x v="4"/>
    <s v="Ciliana Capera"/>
    <s v="Moises Rojas"/>
    <s v="Jairo Salas"/>
    <s v="In Progress"/>
    <s v="N. A."/>
    <m/>
    <m/>
  </r>
  <r>
    <s v="P0366"/>
    <s v="ICF - Migración OCI 2025 - Cloud"/>
    <s v="Migración OCI 2025"/>
    <s v="Cloud"/>
    <x v="18"/>
    <s v="Data"/>
    <x v="19"/>
    <x v="1"/>
    <s v="Icfes"/>
    <s v="Project ISH2VI3P6I - MAP"/>
    <x v="4"/>
    <s v="Ciliana Capera"/>
    <s v="Nicolas Revollo"/>
    <s v="Juan Sanchéz"/>
    <s v="In Progress"/>
    <s v="N. A."/>
    <m/>
    <m/>
  </r>
  <r>
    <s v="P0366"/>
    <s v="ICF - Migración OCI 2025 - Fixed"/>
    <s v="Migración OCI 2025"/>
    <s v="Fixed"/>
    <x v="18"/>
    <s v="Implementación"/>
    <x v="19"/>
    <x v="1"/>
    <s v="Icfes"/>
    <s v="Project ISH2VI3P6I - MAP"/>
    <x v="4"/>
    <s v="Ciliana Capera"/>
    <s v="Nicolas Revollo"/>
    <s v="Juan Sanchéz"/>
    <s v="In Progress"/>
    <s v="N. A."/>
    <m/>
    <m/>
  </r>
  <r>
    <s v="P0367"/>
    <s v="PRO - SmartCash - Operación - Ret"/>
    <s v="SmartCash - Operación"/>
    <s v="Ret"/>
    <x v="29"/>
    <s v="Operación"/>
    <x v="30"/>
    <x v="0"/>
    <s v="Progresión SCB"/>
    <s v="Contrato Progresion 2025 Vr. Procash."/>
    <x v="1"/>
    <s v="Daniela Muñoz"/>
    <s v="Carlos Sierra"/>
    <s v="Angel Villasmil"/>
    <s v="In Progress"/>
    <m/>
    <m/>
    <m/>
  </r>
  <r>
    <s v="P0367"/>
    <s v="PRO - SmartCash - Operación - Cloud"/>
    <s v="SmartCash - Operación"/>
    <s v="Cloud"/>
    <x v="29"/>
    <s v="Data"/>
    <x v="30"/>
    <x v="0"/>
    <s v="Progresión SCB"/>
    <s v="Contrato Progresion 2025 Vr. Procash."/>
    <x v="1"/>
    <s v="Daniela Muñoz"/>
    <s v="Carlos Sierra"/>
    <s v="Angel Villasmil"/>
    <s v="In Progress"/>
    <m/>
    <m/>
    <m/>
  </r>
  <r>
    <s v="P0370"/>
    <s v="CSJ - Digitalización archivo físico Fase II - Fixed"/>
    <s v="Digitalización archivo físico Fase II"/>
    <s v="Fixed"/>
    <x v="11"/>
    <s v="Implementación"/>
    <x v="12"/>
    <x v="0"/>
    <s v="Consejo Superior de la Judicatura"/>
    <m/>
    <x v="3"/>
    <s v="Ciliana Capera"/>
    <s v="Moises Rojas"/>
    <s v="Gerson Pineda"/>
    <s v="In Progress"/>
    <m/>
    <m/>
    <m/>
  </r>
  <r>
    <s v="P0370"/>
    <s v="CSJ - Digitalización archivo físico Fase II - Ret"/>
    <s v="Digitalización archivo físico Fase II"/>
    <s v="Ret"/>
    <x v="11"/>
    <s v="Operación"/>
    <x v="12"/>
    <x v="0"/>
    <s v="Consejo Superior de la Judicatura"/>
    <m/>
    <x v="3"/>
    <s v="Ciliana Capera"/>
    <s v="Moises Rojas"/>
    <s v="Gerson Pineda"/>
    <s v="In Progress"/>
    <m/>
    <m/>
    <m/>
  </r>
  <r>
    <s v="P0370"/>
    <s v="CSJ - Digitalización archivo físico Fase II - Cloud"/>
    <s v="Digitalización archivo físico Fase II"/>
    <s v="Cloud"/>
    <x v="11"/>
    <s v="Data"/>
    <x v="12"/>
    <x v="0"/>
    <s v="Consejo Superior de la Judicatura"/>
    <m/>
    <x v="3"/>
    <s v="Ciliana Capera"/>
    <s v="Moises Rojas"/>
    <s v="Gerson Pineda"/>
    <s v="In Progress"/>
    <m/>
    <m/>
    <m/>
  </r>
  <r>
    <s v="P0371"/>
    <s v="ADR- MVP Auditoría Médica Especializada - Fixed"/>
    <s v="Auditoría Médica Especializada"/>
    <s v="Fixed"/>
    <x v="30"/>
    <s v="Implementación"/>
    <x v="31"/>
    <x v="1"/>
    <s v="ADR_ MVP Auditorías"/>
    <s v="NUVU - Proyectos - Documentos - Habilitadores - Todos los documentos"/>
    <x v="5"/>
    <s v="Ciliana Capera"/>
    <s v="Carlos Sierra"/>
    <m/>
    <s v="Complete"/>
    <s v="N.A"/>
    <n v="68998"/>
    <m/>
  </r>
  <r>
    <s v="P0371"/>
    <s v="ADR- MVP Auditoría Médica Especializada - Cloud"/>
    <s v="Auditoría Médica Especializada"/>
    <s v="Cloud"/>
    <x v="30"/>
    <s v="Data"/>
    <x v="31"/>
    <x v="1"/>
    <s v="ADR_ MVP Auditorías"/>
    <s v="NUVU - Proyectos - Documentos - Habilitadores - Todos los documentos"/>
    <x v="5"/>
    <s v="Ciliana Capera"/>
    <s v="Carlos Sierra"/>
    <m/>
    <s v="Complete"/>
    <s v="N.A"/>
    <n v="68999"/>
    <m/>
  </r>
  <r>
    <s v="P0370"/>
    <s v="CSJ - Digitalización archivo físico Fase II - Ret SW"/>
    <s v="Digitalización archivo físico Fase II"/>
    <s v="Ret SW"/>
    <x v="11"/>
    <s v="Software SW"/>
    <x v="12"/>
    <x v="0"/>
    <s v="Consejo Superior de la Judicatura"/>
    <m/>
    <x v="3"/>
    <s v="Ciliana Capera"/>
    <s v="Moises Rojas"/>
    <s v="Gerson Pineda"/>
    <s v="In Progress"/>
    <m/>
    <m/>
    <m/>
  </r>
  <r>
    <s v="P0371"/>
    <s v="ADR- MVP Auditoría Médica Especializada - Ret Other vendors"/>
    <s v="Auditoría Médica Especializada"/>
    <s v="Ret Other Vendors"/>
    <x v="30"/>
    <s v="Operación"/>
    <x v="31"/>
    <x v="1"/>
    <s v="ADR_ MVP Auditorías"/>
    <s v="NUVU - Proyectos - Documentos - Habilitadores - Todos los documentos"/>
    <x v="5"/>
    <s v="Ciliana Capera"/>
    <s v="Carlos Sierra"/>
    <m/>
    <s v="Complete"/>
    <s v="N.A"/>
    <n v="71118"/>
    <m/>
  </r>
  <r>
    <s v="P0140"/>
    <s v="BLD - Internal Project Delivery (Ad-Hoc) - Internal"/>
    <s v="Internal Project Delivery (Ad-Hoc)"/>
    <s v="Internal"/>
    <x v="0"/>
    <s v="Interno"/>
    <x v="0"/>
    <x v="0"/>
    <s v="N.A."/>
    <s v="N.A."/>
    <x v="0"/>
    <s v="N.A."/>
    <s v="N.A."/>
    <s v="N.A."/>
    <s v="In Progress"/>
    <s v="N. A."/>
    <m/>
    <s v="No Aplica"/>
  </r>
  <r>
    <s v="P0368"/>
    <s v="ACA - Fase 2 Datacali - Cloud"/>
    <s v="Fase 2 Datacali"/>
    <s v="Cloud"/>
    <x v="2"/>
    <s v="Data"/>
    <x v="3"/>
    <x v="1"/>
    <s v="Alcadia de Cali"/>
    <s v="No hay contrato"/>
    <x v="2"/>
    <s v="Karen Arandia"/>
    <s v="Carlos Sierra"/>
    <s v="Simon López"/>
    <s v="Complete"/>
    <m/>
    <m/>
    <m/>
  </r>
  <r>
    <s v="P0370"/>
    <s v="CSJ - Digitalización archivo físico Fase II - Ret Other Vendors"/>
    <s v="Digitalización archivo físico Fase II"/>
    <s v="Ret Other Vendors"/>
    <x v="11"/>
    <s v="Operación"/>
    <x v="12"/>
    <x v="0"/>
    <s v="Consejo Superior de la Judicatura"/>
    <m/>
    <x v="3"/>
    <s v="Ciliana Capera"/>
    <s v="Moises Rojas"/>
    <s v="Gerson Pineda"/>
    <s v="In Progress"/>
    <m/>
    <m/>
    <m/>
  </r>
  <r>
    <s v="P0372"/>
    <s v="ACP- Historia Laboral y Recaudo - Fixed"/>
    <s v="Transformación de la Historia Laboral y Recaudo"/>
    <s v="Fixed"/>
    <x v="31"/>
    <s v="Implementación"/>
    <x v="32"/>
    <x v="0"/>
    <s v="ACP_Historia Laboral"/>
    <s v="N.A."/>
    <x v="0"/>
    <s v="Ciliana Capera"/>
    <s v="Moises Rojas"/>
    <s v="Gerson Pineda"/>
    <s v="In Progress"/>
    <s v="N.A"/>
    <n v="74567"/>
    <m/>
  </r>
  <r>
    <s v="P0372"/>
    <s v="ACP- Historia Laboral y Recaudo - Cloud"/>
    <s v="Transformación de la Historia Laboral y Recaudo"/>
    <s v="Ret"/>
    <x v="31"/>
    <s v="Operación"/>
    <x v="32"/>
    <x v="0"/>
    <s v="ACP_Historia Laboral"/>
    <s v="N.A."/>
    <x v="0"/>
    <s v="Ciliana Capera"/>
    <s v="Moises Rojas"/>
    <s v="Gerson Pineda"/>
    <s v="In Progress"/>
    <s v="N.A"/>
    <n v="74568"/>
    <m/>
  </r>
  <r>
    <s v="P0373"/>
    <s v="UNA- OSE 3 Secretaría General Fixed"/>
    <s v="Secretaría General"/>
    <s v="Fixed"/>
    <x v="12"/>
    <s v="Implementación"/>
    <x v="13"/>
    <x v="0"/>
    <m/>
    <s v="NUVU - Proyectos - Documentos - 00. Administrativos - Todos los documentos"/>
    <x v="1"/>
    <s v="Alejandra Gómez"/>
    <s v="Nicolas Revollo"/>
    <s v="Juan Sanchéz"/>
    <s v="In Progress"/>
    <m/>
    <n v="68449"/>
    <m/>
  </r>
  <r>
    <s v="P0373"/>
    <s v="UNA- OSE 3 Secretaría General Cloud"/>
    <s v="Secretaría General"/>
    <s v="Cloud"/>
    <x v="12"/>
    <s v="Data"/>
    <x v="13"/>
    <x v="0"/>
    <m/>
    <s v="NUVU - Proyectos - Documentos - 00. Administrativos - Todos los documentos"/>
    <x v="1"/>
    <s v="Alejandra Gómez"/>
    <s v="Nicolas Revollo"/>
    <s v="Juan Sanchéz"/>
    <s v="In Progress"/>
    <m/>
    <n v="68452"/>
    <m/>
  </r>
  <r>
    <s v="P0374"/>
    <s v="SDH - Datalake Secretaria del Hábitat - Cloud"/>
    <s v="Datalake Secretaria del Hábitat"/>
    <s v="Cloud"/>
    <x v="21"/>
    <s v="Data"/>
    <x v="22"/>
    <x v="0"/>
    <s v="Secretaria Distrital del Hábitat"/>
    <s v="PO-151730_v1_20250912.pdf"/>
    <x v="3"/>
    <s v="Alejandra Gomez"/>
    <s v="Moises Rojas"/>
    <s v="Jairo Salas"/>
    <s v="In Progress"/>
    <s v="N. A."/>
    <s v="55172 - Ret SW_x000a_55173 - CLOUD_x000a_55174 - Ret"/>
    <s v="No Aplic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2">
  <r>
    <s v="P0083"/>
    <x v="0"/>
    <x v="0"/>
    <s v="COE - Center of Excellence"/>
    <s v="Internal"/>
    <s v="BLD"/>
    <x v="0"/>
    <s v="Blend360"/>
    <x v="0"/>
    <s v="N.A."/>
    <s v="N.A."/>
    <x v="0"/>
    <s v="N.A."/>
    <s v="N.A."/>
    <s v="N.A."/>
    <s v="In Progress"/>
    <s v="N. A."/>
    <n v="5045"/>
    <s v="No Aplica"/>
  </r>
  <r>
    <s v="P0089"/>
    <x v="1"/>
    <x v="1"/>
    <s v="Meetings &amp; Training"/>
    <s v="Internal"/>
    <s v="BLD"/>
    <x v="0"/>
    <s v="Blend360"/>
    <x v="0"/>
    <s v="N.A."/>
    <s v="N.A."/>
    <x v="0"/>
    <s v="N.A."/>
    <s v="N.A."/>
    <s v="N.A."/>
    <s v="In Progress"/>
    <s v="N. A."/>
    <n v="5045"/>
    <s v="No Aplica"/>
  </r>
  <r>
    <s v="P0094"/>
    <x v="2"/>
    <x v="2"/>
    <s v="Time Off &amp; Holiday"/>
    <s v="Internal"/>
    <s v="BLD"/>
    <x v="0"/>
    <s v="Blend360"/>
    <x v="0"/>
    <s v="N.A."/>
    <s v="N.A."/>
    <x v="0"/>
    <s v="N.A."/>
    <s v="N.A."/>
    <s v="N.A."/>
    <s v="In Progress"/>
    <s v="N. A."/>
    <n v="5045"/>
    <s v="No Aplica"/>
  </r>
  <r>
    <s v="P1920"/>
    <x v="3"/>
    <x v="3"/>
    <s v="SmartCash - Operación"/>
    <s v="Ret SW"/>
    <s v="BTG"/>
    <x v="1"/>
    <s v="BTG Pactual Colombia"/>
    <x v="0"/>
    <s v="BTG Pactual S.A"/>
    <s v="Cto Mantenimiento y soporte CP Suite"/>
    <x v="1"/>
    <s v="Daniela Muñoz"/>
    <s v="Carlos Sierra"/>
    <s v="Ariane Hernandez"/>
    <s v="In Progress"/>
    <s v="Miguel.Carrillo"/>
    <s v="55132 - Ret SW_x000a_56836 - Ret"/>
    <s v="No Aplica"/>
  </r>
  <r>
    <s v="P2012"/>
    <x v="3"/>
    <x v="4"/>
    <s v="SmartCash - Operación"/>
    <s v="Ret"/>
    <s v="BTG"/>
    <x v="2"/>
    <s v="BTG Pactual"/>
    <x v="0"/>
    <s v="BTG Pactual S.A"/>
    <s v="BTG COLOMBIA 13.580"/>
    <x v="1"/>
    <s v="Daniela Muñoz"/>
    <s v="Carlos Sierra"/>
    <s v="Ariane Hernandez"/>
    <s v="In Progress"/>
    <s v="Miguel.Carrillo"/>
    <s v="55132 - Ret SW_x000a_56836 - Ret"/>
    <s v="Operations_Team_01"/>
  </r>
  <r>
    <s v="P1903"/>
    <x v="4"/>
    <x v="5"/>
    <s v="Catastro Cali Piloto Dashboard"/>
    <s v="Cloud"/>
    <s v="ACA"/>
    <x v="3"/>
    <s v="Alcaldia de Cali"/>
    <x v="1"/>
    <s v="Alcadia de Cali"/>
    <s v="N.A."/>
    <x v="2"/>
    <s v="Karen Arandia"/>
    <s v="Carlos Sierra"/>
    <s v="Simón Lopez"/>
    <s v="Complete"/>
    <s v="N. A."/>
    <s v="55115 - CLOUD_x000a_55116 - Fixed"/>
    <s v="No Aplica"/>
  </r>
  <r>
    <s v="P1904"/>
    <x v="4"/>
    <x v="6"/>
    <s v="Catastro Cali Piloto Dashboard"/>
    <s v="Fixed"/>
    <s v="ACA"/>
    <x v="4"/>
    <s v="Alcaldia de Cali"/>
    <x v="1"/>
    <s v="Alcadia de Cali"/>
    <s v="N.A."/>
    <x v="2"/>
    <s v="Karen Arandia"/>
    <s v="Carlos Sierra"/>
    <s v="Simón Lopez"/>
    <s v="Complete"/>
    <s v="N. A."/>
    <s v="55115 - CLOUD_x000a_55116 - Fixed"/>
    <s v="Simón Lopez"/>
  </r>
  <r>
    <s v="P1905"/>
    <x v="5"/>
    <x v="7"/>
    <s v="Fase 1 Datacali"/>
    <s v="Fixed"/>
    <s v="ACA"/>
    <x v="4"/>
    <s v="Alcaldia de Cali"/>
    <x v="1"/>
    <s v="Alcadia de Cali"/>
    <s v="Contrato No. 4134.010.26.1.0441-2024"/>
    <x v="2"/>
    <s v="Karen Arandia"/>
    <s v="Carlos Sierra"/>
    <s v="Simón Lopez"/>
    <s v="Complete"/>
    <s v="N. A."/>
    <s v="55117 - Fixed_x000a_55118 - Ret SW_x000a_55119 - CLOUD"/>
    <s v="Simón Lopez"/>
  </r>
  <r>
    <s v="P1906"/>
    <x v="5"/>
    <x v="8"/>
    <s v="Fase 1 Datacali"/>
    <s v="Ret SW"/>
    <s v="ACA"/>
    <x v="1"/>
    <s v="Alcaldia de Cali"/>
    <x v="1"/>
    <s v="Alcadia de Cali"/>
    <s v="Contrato No. 4134.010.26.1.0441-2024"/>
    <x v="2"/>
    <s v="Karen Arandia"/>
    <s v="Carlos Sierra"/>
    <s v="Simón Lopez"/>
    <s v="Complete"/>
    <s v="N. A."/>
    <s v="55117 - Fixed_x000a_55118 - Ret SW_x000a_55119 - CLOUD"/>
    <s v="No Aplica"/>
  </r>
  <r>
    <s v="P1907"/>
    <x v="5"/>
    <x v="9"/>
    <s v="Fase 1 Datacali"/>
    <s v="Cloud"/>
    <s v="ACA"/>
    <x v="3"/>
    <s v="Alcaldia de Cali"/>
    <x v="1"/>
    <s v="Alcadia de Cali"/>
    <s v="Contrato No. 4134.010.26.1.0441-2024"/>
    <x v="2"/>
    <s v="Karen Arandia"/>
    <s v="Carlos Sierra"/>
    <s v="Simón Lopez"/>
    <s v="Complete"/>
    <s v="N. A."/>
    <s v="55117 - Fixed_x000a_55118 - Ret SW_x000a_55119 - CLOUD"/>
    <s v="No Aplica"/>
  </r>
  <r>
    <s v="P1908"/>
    <x v="6"/>
    <x v="10"/>
    <s v="Datalake Grupo de Energía de Bogotá"/>
    <s v="Cloud"/>
    <s v="AGA"/>
    <x v="3"/>
    <s v="Agata Data"/>
    <x v="1"/>
    <s v="Agata GEB- SDP"/>
    <s v="Otrosi n° 3 Anexo 2"/>
    <x v="2"/>
    <s v="Alejandra Gomez"/>
    <s v="Carlos Sierra"/>
    <s v="Jose Gallego"/>
    <s v="Complete"/>
    <s v="N. A."/>
    <s v="55120 - CLOUD_x000a_55121 - Ret SW_x000a_55122 - Ret"/>
    <s v="No Aplica"/>
  </r>
  <r>
    <s v="P1909"/>
    <x v="6"/>
    <x v="11"/>
    <s v="Datalake Grupo de Energía de Bogotá"/>
    <s v="Ret SW"/>
    <s v="AGA"/>
    <x v="1"/>
    <s v="Agata Data"/>
    <x v="1"/>
    <s v="Agata GEB- SDP"/>
    <s v="Otrosi n° 3 Anexo 2"/>
    <x v="2"/>
    <s v="Alejandra Gomez"/>
    <s v="Carlos Sierra"/>
    <s v="Jose Gallego"/>
    <s v="Complete"/>
    <s v="N. A."/>
    <s v="55120 - CLOUD_x000a_55121 - Ret SW_x000a_55122 - Ret"/>
    <s v="No Aplica"/>
  </r>
  <r>
    <s v="P1910"/>
    <x v="6"/>
    <x v="12"/>
    <s v="Datalake Grupo de Energía de Bogotá"/>
    <s v="Ret"/>
    <s v="AGA"/>
    <x v="2"/>
    <s v="Agata Data"/>
    <x v="1"/>
    <s v="Agata GEB- SDP"/>
    <s v="Anexo 2 GEB- SDP"/>
    <x v="2"/>
    <s v="Alejandra Gomez"/>
    <s v="Carlos Sierra"/>
    <s v="Jose Gallego"/>
    <s v="Complete"/>
    <s v="N. A."/>
    <s v="55120 - CLOUD_x000a_55121 - Ret SW_x000a_55122 - Ret"/>
    <s v="Operations_Team_01"/>
  </r>
  <r>
    <s v="P1910"/>
    <x v="7"/>
    <x v="13"/>
    <s v="Multicash Operación"/>
    <s v="Pending"/>
    <s v="AGR"/>
    <x v="2"/>
    <s v="Fiduagraria"/>
    <x v="1"/>
    <s v="Fiduagraria - Multicash"/>
    <s v="Otrosí No 2 Contrato 040 de 2021"/>
    <x v="2"/>
    <s v="Alejandra Gomez"/>
    <s v="Carlos Sierra"/>
    <s v="Angel Villasmil"/>
    <s v="Complete"/>
    <s v="Miguel.Carrillo"/>
    <m/>
    <s v="Operations_Team_01"/>
  </r>
  <r>
    <s v="P1911"/>
    <x v="8"/>
    <x v="14"/>
    <s v="CP Suite ( Smartcash) Operación"/>
    <s v="Ret"/>
    <s v="AGR"/>
    <x v="2"/>
    <s v="Fiduagraria"/>
    <x v="1"/>
    <s v="Fiduagraria- CP Suite"/>
    <s v="OTROSI 3 CTO 032-2021. HIGH TECH"/>
    <x v="2"/>
    <s v="Alejandra Gomez"/>
    <s v="Carlos Sierra"/>
    <s v="Angel Villasmil"/>
    <s v="Complete"/>
    <s v="Miguel.Carrillo"/>
    <n v="55123"/>
    <s v="Operations_Team_01"/>
  </r>
  <r>
    <s v="P1912"/>
    <x v="9"/>
    <x v="15"/>
    <s v="Quicksight Operación 2025  "/>
    <s v="Cloud"/>
    <s v="AGR"/>
    <x v="3"/>
    <s v="Fiduagraria"/>
    <x v="1"/>
    <s v="Fiduagraria - Quicksight "/>
    <s v="OTROSI 3 CTO 037-2021. HIGH TECH."/>
    <x v="2"/>
    <s v="Alejandra Gomez"/>
    <s v="Carlos Sierra"/>
    <s v="Angel Villasmil"/>
    <s v="Complete"/>
    <s v="N. A."/>
    <n v="55124"/>
    <s v="No Aplica"/>
  </r>
  <r>
    <s v="P1913"/>
    <x v="10"/>
    <x v="16"/>
    <s v="Snaptask Operación 2025"/>
    <s v="Ret"/>
    <s v="AGR"/>
    <x v="2"/>
    <s v="Fiduagraria"/>
    <x v="1"/>
    <s v="Fiduagraria - Snaptask"/>
    <s v="OTROSI 3 CTO 038-2021. HIGH TECH"/>
    <x v="2"/>
    <s v="Alejandra Gomez"/>
    <s v="Carlos Sierra"/>
    <s v="Angel Villasmil"/>
    <s v="Complete"/>
    <s v="Miguel.Carrillo"/>
    <n v="55124"/>
    <s v="Operations_Team_01"/>
  </r>
  <r>
    <s v="P1968"/>
    <x v="11"/>
    <x v="17"/>
    <s v="Operación Cloud"/>
    <s v="Cloud"/>
    <s v="UBO"/>
    <x v="3"/>
    <s v="UBosque"/>
    <x v="0"/>
    <s v="Universidad del Bosque"/>
    <s v="Cto PS 250-2021"/>
    <x v="3"/>
    <s v="Alejandra Gomez"/>
    <s v="Samuel Escobar"/>
    <s v="N.A."/>
    <s v="In Progress"/>
    <s v="N. A."/>
    <n v="55180"/>
    <s v="No Aplica"/>
  </r>
  <r>
    <s v="P1932"/>
    <x v="12"/>
    <x v="18"/>
    <s v="Aprovisionamiento multinube - Lote 3"/>
    <s v="Cloud"/>
    <s v="DIA"/>
    <x v="3"/>
    <s v="DIAN"/>
    <x v="0"/>
    <s v="Dian"/>
    <s v="Convenio Contractual 92872-031-2022"/>
    <x v="4"/>
    <s v="Ciliana Capera"/>
    <s v="Nicolas Revollo"/>
    <s v="Juan Sanchéz"/>
    <s v="In Progress"/>
    <s v="N. A."/>
    <n v="55144"/>
    <s v="Cloud Operations"/>
  </r>
  <r>
    <s v="P1947"/>
    <x v="13"/>
    <x v="19"/>
    <s v="Cloud Managed Services 2023-25"/>
    <s v="Ret"/>
    <s v="JPM"/>
    <x v="2"/>
    <s v="JPMP - Justicia Penal Militar y Policial"/>
    <x v="0"/>
    <s v="Justicia Penal Militar"/>
    <s v="OC 119973"/>
    <x v="3"/>
    <s v="Marcela Sanchéz"/>
    <s v="Nicolas Revollo"/>
    <s v="Juan Sanchéz"/>
    <s v="In Progress"/>
    <s v="N. A."/>
    <s v="55159 - Ret_x000a_55160 - CLOUD"/>
    <s v="Cloud Operations"/>
  </r>
  <r>
    <s v="P1948"/>
    <x v="13"/>
    <x v="20"/>
    <s v="Cloud Managed Services 2023-25"/>
    <s v="Cloud"/>
    <s v="JPM"/>
    <x v="3"/>
    <s v="JPMP - Justicia Penal Militar y Policial"/>
    <x v="0"/>
    <s v="Justicia Penal Militar"/>
    <s v="OC 119973"/>
    <x v="3"/>
    <s v="Marcela Sanchéz"/>
    <s v="Nicolas Revollo"/>
    <s v="Juan Sanchéz"/>
    <s v="In Progress"/>
    <s v="N. A."/>
    <s v="55159 - Ret_x000a_55160 - CLOUD"/>
    <s v="Cloud Operations"/>
  </r>
  <r>
    <s v="P1918"/>
    <x v="14"/>
    <x v="21"/>
    <s v="Migración y Diseño de Arquitectura AWS"/>
    <s v="Cloud"/>
    <s v="BID"/>
    <x v="3"/>
    <s v="Banco Interamericano de Desarrollo"/>
    <x v="1"/>
    <s v="Banco Interamericano de Desarrollo"/>
    <s v="PURCHASE ORDER NO. 7000019059"/>
    <x v="4"/>
    <s v="Marcela Sanchéz"/>
    <s v="Moises Rojas"/>
    <m/>
    <s v="Complete"/>
    <s v="N. A."/>
    <s v="55130 - CLOUD_x000a_55131 - Ret"/>
    <s v="No Aplica"/>
  </r>
  <r>
    <s v="P1919"/>
    <x v="14"/>
    <x v="22"/>
    <s v="Migración y Diseño de Arquitectura AWS"/>
    <s v="Ret"/>
    <s v="BID"/>
    <x v="2"/>
    <s v="Banco Interamericano de Desarrollo"/>
    <x v="1"/>
    <s v="Banco Interamericano de Desarrollo"/>
    <s v="PURCHASE ORDER NO. 7000019059"/>
    <x v="4"/>
    <s v="Marcela Sanchéz"/>
    <s v="Carlos Sierra"/>
    <s v="Whitman Rojas"/>
    <s v="Complete"/>
    <s v="N. A."/>
    <s v="55130 - CLOUD_x000a_55131 - Ret"/>
    <s v="Whitman Rojas"/>
  </r>
  <r>
    <s v="P1933"/>
    <x v="15"/>
    <x v="23"/>
    <s v="Back Ups"/>
    <s v="Fixed"/>
    <s v="DIA"/>
    <x v="4"/>
    <s v="DIAN"/>
    <x v="0"/>
    <s v="Dian"/>
    <s v="Propuesta Backups"/>
    <x v="4"/>
    <s v="Ciliana Capera"/>
    <s v="Nicolas Revollo"/>
    <s v="Juan Sanchéz"/>
    <s v="In Progress"/>
    <s v="N. A."/>
    <n v="55145"/>
    <s v="Cloud Operations"/>
  </r>
  <r>
    <s v="P1921"/>
    <x v="16"/>
    <x v="24"/>
    <s v="Nube Pública para Datalake"/>
    <s v="Ret"/>
    <s v="CAT"/>
    <x v="2"/>
    <s v="Unidad Administrativa Especial de Catastro Distrital"/>
    <x v="1"/>
    <s v="Unidad Administrativa de Catastro"/>
    <s v="OC 113430"/>
    <x v="1"/>
    <s v="Alejandra Gomez"/>
    <s v="Carlos Sierra"/>
    <s v="Marcelo Bonivento"/>
    <s v="Complete"/>
    <s v="N. A."/>
    <s v="55133 - Ret_x000a_55134 - CLOUD"/>
    <s v="Cloud Operations"/>
  </r>
  <r>
    <s v="P1922"/>
    <x v="16"/>
    <x v="25"/>
    <s v="Nube Pública para Datalake"/>
    <s v="Cloud"/>
    <s v="CAT"/>
    <x v="3"/>
    <s v="Unidad Administrativa Especial de Catastro Distrital"/>
    <x v="1"/>
    <s v="Unidad Administrativa de Catastro"/>
    <s v="OC 113430"/>
    <x v="1"/>
    <s v="Alejandra Gomez"/>
    <s v="Carlos Sierra"/>
    <s v="Marcelo Bonivento"/>
    <s v="Complete"/>
    <s v="N. A."/>
    <s v="55133 - Ret_x000a_55134 - CLOUD"/>
    <s v="Cloud Operations"/>
  </r>
  <r>
    <s v="P1923"/>
    <x v="17"/>
    <x v="26"/>
    <s v="IaaS para DRP"/>
    <s v="Cloud"/>
    <s v="CCC"/>
    <x v="3"/>
    <s v="Cámara de Comercio de Cali"/>
    <x v="0"/>
    <s v="Cámara de Comercio de Cali"/>
    <s v="Contrato OSJ 2023-0374"/>
    <x v="2"/>
    <s v="Karen Arandia"/>
    <s v="Nicolas Revollo"/>
    <s v="Juan Sanchéz"/>
    <s v="In Progress"/>
    <s v="N. A."/>
    <n v="55135"/>
    <s v="Cloud Operations"/>
  </r>
  <r>
    <s v="P1924"/>
    <x v="18"/>
    <x v="27"/>
    <s v="Migración AWS"/>
    <s v="Fixed"/>
    <s v="CSJ"/>
    <x v="4"/>
    <s v="Consejo Superior de la Judicatura"/>
    <x v="1"/>
    <s v="Consejo Superior de la Judicatura"/>
    <s v="OC 122576"/>
    <x v="3"/>
    <s v="Andres Barrantes"/>
    <s v="Nicolas Revollo"/>
    <s v="Juan Sanchéz"/>
    <s v="Complete"/>
    <s v="N. A."/>
    <s v="55136 - Fixed_x000a_57148 - CLOUD"/>
    <s v="Cloud Operations"/>
  </r>
  <r>
    <s v="P1991"/>
    <x v="19"/>
    <x v="28"/>
    <s v="Unisalud"/>
    <s v="Ret"/>
    <s v="UNA"/>
    <x v="2"/>
    <s v="Universidad Nacional de Colombia"/>
    <x v="0"/>
    <s v="Universidad Nacional"/>
    <s v="NUVU - Proyectos - Documentos - 00. Administrativos - Todos los documentos"/>
    <x v="1"/>
    <s v="Alejandra Gomez"/>
    <s v="Nicolas Revollo"/>
    <s v="Juan Sanchéz"/>
    <s v="In Progress"/>
    <s v="N. A."/>
    <n v="55203"/>
    <s v="No Aplica"/>
  </r>
  <r>
    <s v="P1929"/>
    <x v="20"/>
    <x v="29"/>
    <s v="Sistema integrado de Secretaría Técnica"/>
    <s v="Ret"/>
    <s v="CJU"/>
    <x v="2"/>
    <s v="Coljuegos"/>
    <x v="1"/>
    <s v="Coljuegos S.A"/>
    <s v="CTO 323 - 2024"/>
    <x v="4"/>
    <s v="Karen Arandia"/>
    <s v="Moises Rojas"/>
    <s v="Brandon Ardila"/>
    <s v="Complete"/>
    <s v="N. A."/>
    <s v="55140 - Fixed_x000a_55141 - Ret_x000a_55142 - Ret SW_x000a_55143 - CLOUD"/>
    <s v="Brandon Ardila"/>
  </r>
  <r>
    <s v="P1994"/>
    <x v="21"/>
    <x v="30"/>
    <s v="Regalías Sikie"/>
    <s v="Cloud"/>
    <s v="UNA"/>
    <x v="3"/>
    <s v="Universidad Nacional de Colombia"/>
    <x v="0"/>
    <s v="Universidad Nacional"/>
    <s v="NUVU - Proyectos - Documentos - 00. Administrativos - Todos los documentos"/>
    <x v="1"/>
    <s v="Alejandra Gomez"/>
    <s v="Nicolas Revollo"/>
    <s v="Juan Sanchéz"/>
    <s v="In Progress"/>
    <s v="N. A."/>
    <n v="55206"/>
    <s v="No Aplica"/>
  </r>
  <r>
    <s v="P2537"/>
    <x v="21"/>
    <x v="31"/>
    <s v="Regalías Sikie"/>
    <s v="Ret"/>
    <s v="UNA"/>
    <x v="2"/>
    <s v="Universidad Nacional de Colombia"/>
    <x v="0"/>
    <s v="Universida Nacional"/>
    <s v="NUVU - Proyectos - Documentos - 00. Administrativos - Todos los documentos"/>
    <x v="1"/>
    <s v="Alejandra Gomez"/>
    <s v="Nicolas Revollo"/>
    <s v="Juan Sanchéz"/>
    <s v="In Progress"/>
    <m/>
    <n v="2600"/>
    <s v="Christyan Gutiérrez"/>
  </r>
  <r>
    <s v="P2537"/>
    <x v="21"/>
    <x v="31"/>
    <s v="Regalías Sikie"/>
    <s v="Ret"/>
    <s v="UNA"/>
    <x v="2"/>
    <s v="Universidad Nacional de Colombia"/>
    <x v="0"/>
    <m/>
    <m/>
    <x v="1"/>
    <s v="Alejandra Gómez"/>
    <m/>
    <m/>
    <s v="In Progress"/>
    <m/>
    <m/>
    <m/>
  </r>
  <r>
    <s v="P1977"/>
    <x v="22"/>
    <x v="32"/>
    <s v="Fortinet"/>
    <s v="Fixed"/>
    <s v="UNA"/>
    <x v="4"/>
    <s v="Universidad Nacional de Colombia"/>
    <x v="0"/>
    <s v="Universidad Nacional"/>
    <s v="NUVU - Proyectos - Documentos - 00. Administrativos - Todos los documentos"/>
    <x v="1"/>
    <s v="Alejandra Gomez"/>
    <s v="Nicolas Revollo"/>
    <s v="Juan Sanchéz"/>
    <s v="In Progress"/>
    <s v="N. A."/>
    <s v="55190 - Fixed_x000a_55191 - CLOUD"/>
    <s v="Cloud Operations"/>
  </r>
  <r>
    <s v="P1934"/>
    <x v="23"/>
    <x v="33"/>
    <s v="Portal Colombia Aprende"/>
    <s v="Fixed"/>
    <s v="EAF"/>
    <x v="4"/>
    <s v="Universidad EAFIT - Escuela de Administración, Finanzas e Instituto Tecnológico"/>
    <x v="1"/>
    <s v="Universidad EAFIT"/>
    <s v="CONTRATO HIGH TECH SOFTWARE VF Final"/>
    <x v="2"/>
    <s v="Karen Arandia"/>
    <s v="Moises Rojas"/>
    <s v="Brandon Ardila"/>
    <s v="Complete"/>
    <s v="N. A."/>
    <s v="55146 - Fixed_x000a_55147 - Ret SW_x000a_55148 - CLOUD"/>
    <s v="Operations_Team_01"/>
  </r>
  <r>
    <s v="P1935"/>
    <x v="23"/>
    <x v="34"/>
    <s v="Portal Colombia Aprende"/>
    <s v="Ret SW"/>
    <s v="EAF"/>
    <x v="1"/>
    <s v="Universidad EAFIT - Escuela de Administración, Finanzas e Instituto Tecnológico"/>
    <x v="1"/>
    <s v="Universidad EAFIT"/>
    <s v="CONTRATO HIGH TECH SOFTWARE VF Final"/>
    <x v="2"/>
    <s v="Karen Arandia"/>
    <s v="Moises Rojas"/>
    <s v="Brandon Ardila"/>
    <s v="Complete"/>
    <s v="N. A."/>
    <s v="55146 - Fixed_x000a_55147 - Ret SW_x000a_55148 - CLOUD"/>
    <s v="No Aplica"/>
  </r>
  <r>
    <s v="P1936"/>
    <x v="23"/>
    <x v="35"/>
    <s v="Portal Colombia Aprende"/>
    <s v="Cloud"/>
    <s v="EAF"/>
    <x v="3"/>
    <s v="Universidad EAFIT - Escuela de Administración, Finanzas e Instituto Tecnológico"/>
    <x v="1"/>
    <s v="Universidad EAFIT"/>
    <s v="CONTRATO HIGH TECH SOFTWARE VF Final"/>
    <x v="2"/>
    <s v="Karen Arandia"/>
    <s v="Moises Rojas"/>
    <s v="Brandon Ardila"/>
    <s v="Complete"/>
    <s v="N. A."/>
    <s v="55146 - Fixed_x000a_55147 - Ret SW_x000a_55148 - CLOUD"/>
    <s v="No Aplica"/>
  </r>
  <r>
    <s v="P1978"/>
    <x v="22"/>
    <x v="36"/>
    <s v="Fortinet"/>
    <s v="Cloud"/>
    <s v="UNA"/>
    <x v="3"/>
    <s v="Universidad Nacional de Colombia"/>
    <x v="0"/>
    <s v="Universidad Nacional"/>
    <s v="NUVU - Proyectos - Documentos - 00. Administrativos - Todos los documentos"/>
    <x v="1"/>
    <s v="Alejandra Gomez"/>
    <s v="Nicolas Revollo"/>
    <s v="Juan Sanchéz"/>
    <s v="In Progress"/>
    <s v="N. A."/>
    <s v="55190 - Fixed_x000a_55191 - CLOUD"/>
    <s v="No Aplica"/>
  </r>
  <r>
    <s v="P1938"/>
    <x v="24"/>
    <x v="37"/>
    <s v="Tableros BI"/>
    <s v="Fixed"/>
    <s v="FDN"/>
    <x v="4"/>
    <s v="Financiera de Desarrollo Nacional"/>
    <x v="1"/>
    <s v="FND"/>
    <s v="Contrato 71 de 2024"/>
    <x v="4"/>
    <s v="Alejandra Gomez"/>
    <s v="Nicolas Revollo"/>
    <s v="Juan Sanchéz"/>
    <s v="Complete"/>
    <s v="N. A."/>
    <n v="55155"/>
    <s v="Operations_Team_01"/>
  </r>
  <r>
    <s v="P1939"/>
    <x v="25"/>
    <x v="38"/>
    <s v="Gestión Integral Mojana"/>
    <s v="Fixed"/>
    <s v="FOA"/>
    <x v="4"/>
    <s v="Fondo Adaptación"/>
    <x v="1"/>
    <s v="Fondo Adaptación"/>
    <s v="OC 126506"/>
    <x v="4"/>
    <s v="Karen Arandia"/>
    <s v="Carlos Sierra"/>
    <s v="Diego Saavedra"/>
    <s v="Complete"/>
    <s v="N. A."/>
    <s v="55151 - Fixed_x000a_55152 - Ret SW_x000a_55153 - CLOUD"/>
    <s v="Diego Saavedra"/>
  </r>
  <r>
    <s v="P1940"/>
    <x v="25"/>
    <x v="39"/>
    <s v="Gestión Integral Mojana"/>
    <s v="Ret SW"/>
    <s v="FOA"/>
    <x v="1"/>
    <s v="Fondo Adaptación"/>
    <x v="1"/>
    <s v="Fondo Adaptación"/>
    <s v="OC 126506"/>
    <x v="4"/>
    <s v="Karen Arandia"/>
    <s v="Carlos Sierra"/>
    <s v="Diego Saavedra"/>
    <s v="Complete"/>
    <s v="N. A."/>
    <s v="55151 - Fixed_x000a_55152 - Ret SW_x000a_55153 - CLOUD"/>
    <s v="No Aplica"/>
  </r>
  <r>
    <s v="P1941"/>
    <x v="25"/>
    <x v="40"/>
    <s v="Gestión Integral Mojana"/>
    <s v="Cloud"/>
    <s v="FOA"/>
    <x v="3"/>
    <s v="Fondo Adaptación"/>
    <x v="1"/>
    <s v="Fondo Adaptación"/>
    <s v="OC 126506"/>
    <x v="4"/>
    <s v="Karen Arandia"/>
    <s v="Carlos Sierra"/>
    <s v="Diego Saavedra"/>
    <s v="Complete"/>
    <s v="N. A."/>
    <s v="55151 - Fixed_x000a_55152 - Ret SW_x000a_55153 - CLOUD"/>
    <s v="No Aplica"/>
  </r>
  <r>
    <s v="P1942"/>
    <x v="26"/>
    <x v="41"/>
    <s v="SmartCash - Operación"/>
    <s v="Cloud"/>
    <s v="GLO"/>
    <x v="3"/>
    <s v="Global Securities"/>
    <x v="1"/>
    <s v="Global Securities S.A"/>
    <s v="Cto CP Suite"/>
    <x v="2"/>
    <s v="Alejandra Gomez"/>
    <s v="Carlos Sierra"/>
    <s v="Angel Villasmil"/>
    <s v="Complete"/>
    <s v="Miguel.Carrillo"/>
    <n v="55154"/>
    <s v="No Aplica"/>
  </r>
  <r>
    <s v="P1943"/>
    <x v="27"/>
    <x v="42"/>
    <s v="Evolución Datalake Fase1 2025"/>
    <s v="Fixed"/>
    <s v="ICF"/>
    <x v="4"/>
    <s v="Instituto Colombiano Para La Evaluacion De La Educacion ICFES"/>
    <x v="1"/>
    <s v="Icfes"/>
    <s v="OC 142744"/>
    <x v="4"/>
    <s v="Ciliana Capera"/>
    <s v="Moises Rojas"/>
    <s v="Jairo Salas"/>
    <s v="Complete"/>
    <s v="N. A."/>
    <s v="55155 - Fixed_x000a_55156 - Ret_x000a_55157 - CLOUD_x000a_55158 - Ret  SW"/>
    <s v="Jairo Salas"/>
  </r>
  <r>
    <s v="P1944"/>
    <x v="27"/>
    <x v="43"/>
    <s v="Evolución Datalake Fase1 2025"/>
    <s v="Ret"/>
    <s v="ICF"/>
    <x v="2"/>
    <s v="Instituto Colombiano Para La Evaluacion De La Educacion ICFES"/>
    <x v="1"/>
    <s v="Icfes"/>
    <s v="OC 142744"/>
    <x v="4"/>
    <s v="Ciliana Capera"/>
    <s v="Moises Rojas"/>
    <s v="Jairo Salas"/>
    <s v="Complete"/>
    <s v="N. A."/>
    <s v="55155 - Fixed_x000a_55156 - Ret_x000a_55157 - CLOUD_x000a_55158 - Ret  SW"/>
    <s v="Jairo Salas"/>
  </r>
  <r>
    <s v="P1945"/>
    <x v="27"/>
    <x v="44"/>
    <s v="Evolución Datalake Fase1 2025"/>
    <s v="Cloud"/>
    <s v="ICF"/>
    <x v="3"/>
    <s v="Instituto Colombiano Para La Evaluacion De La Educacion ICFES"/>
    <x v="1"/>
    <s v="Icfes"/>
    <s v="OC 142744"/>
    <x v="4"/>
    <s v="Ciliana Capera"/>
    <s v="Moises Rojas"/>
    <s v="Jairo Salas"/>
    <s v="Complete"/>
    <s v="N. A."/>
    <s v="55155 - Fixed_x000a_55156 - Ret_x000a_55157 - CLOUD_x000a_55158 - Ret  SW"/>
    <s v="No Aplica"/>
  </r>
  <r>
    <s v="P1946"/>
    <x v="27"/>
    <x v="45"/>
    <s v="Evolución Datalake Fase1 2025"/>
    <s v="Ret SW"/>
    <s v="ICF"/>
    <x v="1"/>
    <s v="Instituto Colombiano Para La Evaluacion De La Educacion ICFES"/>
    <x v="1"/>
    <s v="Icfes"/>
    <s v="OC 142744"/>
    <x v="4"/>
    <s v="Ciliana Capera"/>
    <s v="Moises Rojas"/>
    <s v="Jairo Salas"/>
    <s v="Complete"/>
    <s v="N. A."/>
    <s v="55155 - Fixed_x000a_55156 - Ret_x000a_55157 - CLOUD_x000a_55158 - Ret  SW"/>
    <s v="No Aplica"/>
  </r>
  <r>
    <s v="P1983"/>
    <x v="28"/>
    <x v="46"/>
    <s v="Laboratorios Virtuales"/>
    <s v="Cloud"/>
    <s v="UNA"/>
    <x v="3"/>
    <s v="Universidad Nacional de Colombia"/>
    <x v="0"/>
    <s v="Universidad Nacional"/>
    <s v="OSE 90 4001 2024 SOL 20036"/>
    <x v="1"/>
    <s v="Alejandra Gomez"/>
    <s v="Nicolas Revollo"/>
    <s v="Juan Sanchéz"/>
    <s v="Complete"/>
    <s v="N. A."/>
    <n v="55195"/>
    <s v="Cloud Operations"/>
  </r>
  <r>
    <s v="P1973"/>
    <x v="29"/>
    <x v="47"/>
    <s v="Editorial de UNAL"/>
    <s v="Cloud"/>
    <s v="UNA"/>
    <x v="3"/>
    <s v="Universidad Nacional de Colombia"/>
    <x v="0"/>
    <s v="Universidad Nacional"/>
    <s v="NUVU - Proyectos - 00. Administrativos - Todos los documentos"/>
    <x v="1"/>
    <s v="Alejandra Gomez"/>
    <s v="Nicolas Revollo"/>
    <s v="Juan Sanchéz"/>
    <s v="In Progress"/>
    <s v="N. A."/>
    <n v="55185"/>
    <s v="No Aplica"/>
  </r>
  <r>
    <s v="P1988"/>
    <x v="30"/>
    <x v="48"/>
    <s v="Repositorio"/>
    <s v="Cloud"/>
    <s v="UNA"/>
    <x v="3"/>
    <s v="Universidad Nacional de Colombia"/>
    <x v="0"/>
    <s v="Universidad Nacional"/>
    <s v="NUVU - Proyectos - Documentos - 00. Administrativos - Todos los documentos"/>
    <x v="1"/>
    <s v="Alejandra Gomez"/>
    <s v="Nicolas Revollo"/>
    <s v="Juan Sanchéz"/>
    <s v="In Progress"/>
    <s v="N. A."/>
    <n v="55200"/>
    <s v="No Aplica"/>
  </r>
  <r>
    <s v="P1982"/>
    <x v="31"/>
    <x v="49"/>
    <s v="HPC Registro y Matrícula"/>
    <s v="Cloud"/>
    <s v="UNA"/>
    <x v="3"/>
    <s v="Universidad Nacional de Colombia"/>
    <x v="0"/>
    <s v="Universidad Nacional"/>
    <s v="NUVU - Proyectos - 00. Administrativo - Todos los documentos"/>
    <x v="1"/>
    <s v="Alejandra Gomez"/>
    <s v="Nicolas Revollo"/>
    <s v="Juan Sanchéz"/>
    <s v="In Progress"/>
    <s v="N. A."/>
    <n v="55194"/>
    <s v="No Aplica"/>
  </r>
  <r>
    <s v="P1951"/>
    <x v="32"/>
    <x v="50"/>
    <s v="Ciudades y territorios inteligentes Mintic"/>
    <s v="Ret"/>
    <s v="MTC"/>
    <x v="2"/>
    <s v="MinTic"/>
    <x v="1"/>
    <s v="Mintic"/>
    <s v="NUVU - Proyectos - 01. Habilitacion - Todos los documentos"/>
    <x v="5"/>
    <s v="Karen Arandia"/>
    <s v="Nicolas Revollo"/>
    <s v="Juan Sanchéz"/>
    <s v="Complete"/>
    <s v="N. A."/>
    <s v="55163 - Ret_x000a_55164 - Fixed_x000a_55165 - CLOUD"/>
    <s v="Operations_Team_01"/>
  </r>
  <r>
    <s v="P1952"/>
    <x v="32"/>
    <x v="51"/>
    <s v="Ciudades y territorios inteligentes Mintic"/>
    <s v="Fixed"/>
    <s v="MTC"/>
    <x v="4"/>
    <s v="MinTic"/>
    <x v="1"/>
    <s v="Mintic"/>
    <s v="NUVU - Proyectos - 01. Habilitacion - Todos los documentos"/>
    <x v="5"/>
    <s v="Karen Arandia"/>
    <s v="Nicolas Revollo"/>
    <s v="Juan Sanchéz"/>
    <s v="Complete"/>
    <s v="N. A."/>
    <s v="55163 - Ret_x000a_55164 - Fixed_x000a_55165 - CLOUD"/>
    <s v="Cloud Operations"/>
  </r>
  <r>
    <s v="P1953"/>
    <x v="32"/>
    <x v="52"/>
    <s v="Ciudades y territorios inteligentes Mintic"/>
    <s v="Cloud"/>
    <s v="MTC"/>
    <x v="3"/>
    <s v="MinTic"/>
    <x v="1"/>
    <s v="Mintic"/>
    <s v="NUVU - Proyectos - 01. Habilitacion - Todos los documentos"/>
    <x v="5"/>
    <s v="Karen Arandia"/>
    <s v="Nicolas Revollo"/>
    <s v="Juan Sanchéz"/>
    <s v="Complete"/>
    <s v="N. A."/>
    <s v="55163 - Ret_x000a_55164 - Fixed_x000a_55165 - CLOUD"/>
    <s v="No Aplica"/>
  </r>
  <r>
    <s v="P1954"/>
    <x v="33"/>
    <x v="53"/>
    <s v="Microcentros AI"/>
    <s v="Ret"/>
    <s v="MTC"/>
    <x v="2"/>
    <s v="MinTic"/>
    <x v="1"/>
    <s v="Mintic"/>
    <s v="NUVU - Proyectos - Documentos - 01. Documentación Esencial - Todos los documentos"/>
    <x v="5"/>
    <s v="Karen Arandia"/>
    <s v="Carlos Sierra"/>
    <s v="Jose Gallego"/>
    <s v="Complete"/>
    <s v="N. A."/>
    <s v="55166 - Ret_x000a_55167 - CLOUD"/>
    <s v="Operations_Team_01"/>
  </r>
  <r>
    <s v="P1955"/>
    <x v="33"/>
    <x v="54"/>
    <s v="Microcentros AI"/>
    <s v="Cloud"/>
    <s v="MTC"/>
    <x v="3"/>
    <s v="MinTic"/>
    <x v="1"/>
    <s v="Mintic"/>
    <s v="NUVU - Proyectos - Documentos - 01. Documentación Esencial - Todos los documentos"/>
    <x v="5"/>
    <s v="Karen Arandia"/>
    <s v="Carlos Sierra"/>
    <s v="Jose Gallego"/>
    <s v="Complete"/>
    <s v="N. A."/>
    <s v="55166 - Ret_x000a_55167 - CLOUD"/>
    <s v="No Aplica"/>
  </r>
  <r>
    <s v="P1959"/>
    <x v="34"/>
    <x v="55"/>
    <s v="Soporte y Mantenimiento Quipu 2024-25"/>
    <s v="Ret"/>
    <s v="SAN"/>
    <x v="2"/>
    <s v="Sanidad"/>
    <x v="1"/>
    <s v="Dirección de Sanidad"/>
    <s v="Contrato 07-7-20157-24"/>
    <x v="4"/>
    <s v="Marcela Sanchéz"/>
    <s v="Carlos Sierra"/>
    <s v="Gersón Pineda"/>
    <s v="Complete"/>
    <s v="David.Gomez"/>
    <n v="55171"/>
    <s v="Operations_Team_01"/>
  </r>
  <r>
    <s v="P1960"/>
    <x v="35"/>
    <x v="56"/>
    <s v="Datalake Secretaria del Hábitat"/>
    <s v="Ret SW"/>
    <s v="SDH"/>
    <x v="1"/>
    <s v="Secretaria Distrital del Hábitat"/>
    <x v="1"/>
    <s v="Secretaria Distrital del Hábitat"/>
    <s v="Contrato No 1558-2024"/>
    <x v="3"/>
    <s v="Alejandra Gomez"/>
    <s v="Moises Rojas"/>
    <s v="Jairo Salas"/>
    <s v="Complete"/>
    <s v="N. A."/>
    <s v="55172 - Ret SW_x000a_55173 - CLOUD_x000a_55174 - Ret"/>
    <s v="No Aplica"/>
  </r>
  <r>
    <s v="P1961"/>
    <x v="35"/>
    <x v="57"/>
    <s v="Datalake Secretaria del Hábitat"/>
    <s v="Cloud"/>
    <s v="SDH"/>
    <x v="3"/>
    <s v="Secretaria Distrital del Hábitat"/>
    <x v="1"/>
    <s v="Secretaria Distrital del Hábitat"/>
    <s v="Contrato No 1558-2024"/>
    <x v="3"/>
    <s v="Alejandra Gomez"/>
    <s v="Moises Rojas"/>
    <s v="Jairo Salas"/>
    <s v="Complete"/>
    <s v="N. A."/>
    <s v="55172 - Ret SW_x000a_55173 - CLOUD_x000a_55174 - Ret"/>
    <s v="No Aplica"/>
  </r>
  <r>
    <s v="P1962"/>
    <x v="35"/>
    <x v="58"/>
    <s v="Datalake Secretaria del Hábitat"/>
    <s v="Ret"/>
    <s v="SDH"/>
    <x v="2"/>
    <s v="Secretaria Distrital del Hábitat"/>
    <x v="1"/>
    <s v="Secretaria Distrital del Hábitat"/>
    <s v="Contrato No 1558-2024"/>
    <x v="3"/>
    <s v="Alejandra Gomez"/>
    <s v="Moises Rojas"/>
    <s v="Jairo Salas"/>
    <s v="Complete"/>
    <s v="N. A."/>
    <s v="55172 - Ret SW_x000a_55173 - CLOUD_x000a_55174 - Ret"/>
    <s v="Operations_Team_01"/>
  </r>
  <r>
    <s v="P1963"/>
    <x v="36"/>
    <x v="59"/>
    <s v="IA Sociedades 2024-2025"/>
    <s v="Cloud"/>
    <s v="SOC"/>
    <x v="3"/>
    <s v="Superintendencia de Sociedades"/>
    <x v="1"/>
    <s v="Supersociedades"/>
    <s v="OC139384 _x000a_00. Administrativo"/>
    <x v="6"/>
    <s v="Marcela Sanchéz"/>
    <s v="Carlos Sierra"/>
    <s v="Ariane Hernandez"/>
    <s v="Complete"/>
    <s v="Miguel.Carrillo"/>
    <s v="55175 - CLOUD_x000a_55176 - Ret"/>
    <s v="No Aplica"/>
  </r>
  <r>
    <s v="P1964"/>
    <x v="36"/>
    <x v="60"/>
    <s v="IA Sociedades 2024-2025"/>
    <s v="Ret"/>
    <s v="SOC"/>
    <x v="2"/>
    <s v="Superintendencia de Sociedades"/>
    <x v="1"/>
    <s v="Supersociedades"/>
    <s v="OC139384 _x000a_00. Administrativo"/>
    <x v="6"/>
    <s v="Marcela Sanchéz"/>
    <s v="Carlos Sierra"/>
    <s v="Ariane Hernandez"/>
    <s v="Complete"/>
    <s v="Miguel.Carrillo"/>
    <s v="55175 - CLOUD_x000a_55176 - Ret"/>
    <s v="Operations_Team_01"/>
  </r>
  <r>
    <s v="P1928"/>
    <x v="20"/>
    <x v="61"/>
    <s v="Sistema integrado de Secretaría Técnica"/>
    <s v="Fixed"/>
    <s v="CJU"/>
    <x v="4"/>
    <s v="Coljuegos"/>
    <x v="1"/>
    <s v="Coljuegos S.A"/>
    <s v="CTO 323 - 2024"/>
    <x v="4"/>
    <s v="Karen Arandia"/>
    <s v="Moises Rojas"/>
    <s v="Brandon Ardila"/>
    <s v="In Progress"/>
    <s v="N. A."/>
    <s v="55140 - Fixed_x000a_55141 - Ret_x000a_55142 - Ret SW_x000a_55143 - CLOUD"/>
    <s v="Brandon Ardila"/>
  </r>
  <r>
    <s v="P1930"/>
    <x v="20"/>
    <x v="62"/>
    <s v="Sistema integrado de Secretaría Técnica"/>
    <s v="Ret SW"/>
    <s v="CJU"/>
    <x v="1"/>
    <s v="Coljuegos"/>
    <x v="1"/>
    <s v="Coljuegos S.A"/>
    <s v="CTO 323 - 2024"/>
    <x v="4"/>
    <s v="Karen Arandia"/>
    <s v="Moises Rojas"/>
    <s v="Brandon Ardila"/>
    <s v="In Progress"/>
    <s v="N. A."/>
    <s v="55140 - Fixed_x000a_55141 - Ret_x000a_55142 - Ret SW_x000a_55143 - CLOUD"/>
    <s v="No Aplica"/>
  </r>
  <r>
    <s v="P1931"/>
    <x v="20"/>
    <x v="63"/>
    <s v="Sistema integrado de Secretaría Técnica"/>
    <s v="Cloud"/>
    <s v="CJU"/>
    <x v="3"/>
    <s v="Coljuegos"/>
    <x v="1"/>
    <s v="Coljuegos S.A"/>
    <s v="CTO 323 - 2024"/>
    <x v="4"/>
    <s v="Karen Arandia"/>
    <s v="Moises Rojas"/>
    <s v="Brandon Ardila"/>
    <s v="In Progress"/>
    <s v="N. A."/>
    <s v="55140 - Fixed_x000a_55141 - Ret_x000a_55142 - Ret SW_x000a_55143 - CLOUD"/>
    <s v="No Aplica"/>
  </r>
  <r>
    <s v="P1937"/>
    <x v="37"/>
    <x v="64"/>
    <s v="Servicios profesionales Arquitectura"/>
    <s v="Fixed"/>
    <s v="FDN"/>
    <x v="4"/>
    <s v="Financiera de Desarrollo Nacional"/>
    <x v="0"/>
    <s v="FND"/>
    <s v="Pedido 4402419 HIGH TECH SOFTWARE SAS"/>
    <x v="3"/>
    <s v="Alejandra Gomez"/>
    <s v="Nicolas Revollo"/>
    <s v="Juan Sanchéz"/>
    <s v="In Progress"/>
    <s v="N. A."/>
    <s v="55149 - Fixed"/>
    <s v="Operations_Team_01"/>
  </r>
  <r>
    <s v="P1969"/>
    <x v="38"/>
    <x v="65"/>
    <s v="ODS 1512 - Soporte y Mtto Quipu 24-25"/>
    <s v="Ret"/>
    <s v="UCA"/>
    <x v="2"/>
    <s v="Universidad de Caldas"/>
    <x v="1"/>
    <s v="Universidad de Caldas"/>
    <s v="ODS 1512-2024"/>
    <x v="2"/>
    <s v="Alejandra Gomez"/>
    <s v="Carlos Sierra"/>
    <s v="Sebastian Vidal"/>
    <s v="Complete"/>
    <s v="Valentina.Salazar"/>
    <n v="55181"/>
    <s v="Operations_Team_UCA"/>
  </r>
  <r>
    <s v="P1949"/>
    <x v="39"/>
    <x v="66"/>
    <s v="Cloud Sistema de Recaudo"/>
    <s v="Fixed"/>
    <s v="MMN"/>
    <x v="4"/>
    <s v="Empresa De Transporte Masivo Del Valle De Aburrá Limitada"/>
    <x v="0"/>
    <s v="Metro de Medellín"/>
    <s v="01. Documentación esencial"/>
    <x v="5"/>
    <s v="Daniela Muñoz"/>
    <s v="Nicolas Revollo"/>
    <s v="Juan Sanchéz"/>
    <s v="In Progress"/>
    <s v="N. A."/>
    <s v="55161 - Fixed_x000a_55162 - CLOUD"/>
    <s v="Cloud Operations"/>
  </r>
  <r>
    <s v="P1950"/>
    <x v="39"/>
    <x v="67"/>
    <s v="Cloud Sistema de Recaudo"/>
    <s v="Cloud"/>
    <s v="MMN"/>
    <x v="3"/>
    <s v="Empresa De Transporte Masivo Del Valle De Aburrá Limitada"/>
    <x v="0"/>
    <s v="Metro de Medellín"/>
    <s v="01. Documentación esencial"/>
    <x v="5"/>
    <s v="Daniela Muñoz"/>
    <s v="Nicolas Revollo"/>
    <s v="Juan Sanchéz"/>
    <s v="In Progress"/>
    <s v="N. A."/>
    <s v="55161 - Fixed_x000a_55162 - CLOUD"/>
    <s v="No Aplica"/>
  </r>
  <r>
    <s v="P2225"/>
    <x v="39"/>
    <x v="68"/>
    <s v="Cloud Sistema de Recaudo"/>
    <s v="Ret Other Vendors"/>
    <s v="MMN"/>
    <x v="2"/>
    <s v="Empresa De Transporte Masivo Del Valle De Aburrá Limitada"/>
    <x v="0"/>
    <s v="Metro de Medellín"/>
    <s v="01. Documentación esencial"/>
    <x v="5"/>
    <s v="Daniela Muñoz"/>
    <s v="Nicolas Revollo"/>
    <s v="Juan Sanchéz"/>
    <s v="In Progress"/>
    <s v="N. A."/>
    <s v="67635 - Other Vendor"/>
    <s v="No Aplica"/>
  </r>
  <r>
    <s v="P2310"/>
    <x v="39"/>
    <x v="69"/>
    <s v="Cloud Sistema de Recaudo"/>
    <s v="Ret "/>
    <s v="MMN"/>
    <x v="2"/>
    <s v="Empresa De Transporte Masivo Del Valle De Aburrá Limitada"/>
    <x v="0"/>
    <s v="Metro de Medellín"/>
    <s v="01. Documentación esencial"/>
    <x v="5"/>
    <s v="Daniela Muñoz"/>
    <s v="Nicolas Revollo"/>
    <s v="Juan Sanchéz"/>
    <s v="In Progress"/>
    <s v="N. A."/>
    <s v="70411 - Ret"/>
    <s v="No Aplica"/>
  </r>
  <r>
    <s v="P1965"/>
    <x v="40"/>
    <x v="70"/>
    <s v="Repositorio Único de Datos"/>
    <s v="Fixed"/>
    <s v="SPD"/>
    <x v="4"/>
    <s v="Superintendencia Servicios Públicos Domiciliarios"/>
    <x v="1"/>
    <s v="Superservicios"/>
    <s v="PO-140333_v1_20241227"/>
    <x v="7"/>
    <s v="Ciliana Capera"/>
    <s v="Moises Rojas"/>
    <s v="Santiago Villegas"/>
    <s v="In Progress"/>
    <s v="N. A."/>
    <s v="55177 - Fixed_x000a_55178 - Ret SW_x000a_55179 - CLOUD"/>
    <s v="Santiago Villegas"/>
  </r>
  <r>
    <s v="P1966"/>
    <x v="40"/>
    <x v="71"/>
    <s v="Repositorio Único de Datos"/>
    <s v="Ret SW"/>
    <s v="SPD"/>
    <x v="1"/>
    <s v="Superintendencia Servicios Públicos Domiciliarios"/>
    <x v="0"/>
    <s v="Superservicios"/>
    <s v="PO-140333_v1_20241227"/>
    <x v="7"/>
    <s v="Ciliana Capera"/>
    <s v="Moises Rojas"/>
    <s v="Santiago Villegas"/>
    <s v="In Progress"/>
    <s v="N. A."/>
    <s v="55177 - Fixed_x000a_55178 - Ret SW_x000a_55179 - CLOUD"/>
    <s v="No Aplica"/>
  </r>
  <r>
    <s v="P1967"/>
    <x v="40"/>
    <x v="72"/>
    <s v="Repositorio Único de Datos"/>
    <s v="Cloud"/>
    <s v="SPD"/>
    <x v="3"/>
    <s v="Superintendencia Servicios Públicos Domiciliarios"/>
    <x v="0"/>
    <s v="Superservicios"/>
    <s v="PO-140333_v1_20241227"/>
    <x v="7"/>
    <s v="Ciliana Capera"/>
    <s v="Moises Rojas"/>
    <s v="Santiago Villegas"/>
    <s v="In Progress"/>
    <s v="N. A."/>
    <s v="55177 - Fixed_x000a_55178 - Ret SW_x000a_55179 - CLOUD"/>
    <s v="Santiago Villegas"/>
  </r>
  <r>
    <s v="P1979"/>
    <x v="41"/>
    <x v="73"/>
    <s v="Gestión de Información"/>
    <s v="Fixed"/>
    <s v="UNA"/>
    <x v="4"/>
    <s v="Universidad Nacional de Colombia"/>
    <x v="0"/>
    <s v="Universida Nacional"/>
    <s v="NUVU - Proyectos - Documentos - 00. Administrativo - Todos los documentos"/>
    <x v="1"/>
    <s v="Alejandra Gomez"/>
    <s v="Nicolas Revollo"/>
    <s v="Juan Sanchéz"/>
    <s v="In Progress"/>
    <s v="N. A."/>
    <s v="55191 - Fixed_x000a_55192 - Ret_x000a_55193 - CLOUD"/>
    <s v="Cloud Operations"/>
  </r>
  <r>
    <s v="P1980"/>
    <x v="41"/>
    <x v="74"/>
    <s v="Gestión de Información"/>
    <s v="Ret"/>
    <s v="UNA"/>
    <x v="2"/>
    <s v="Universidad Nacional de Colombia"/>
    <x v="0"/>
    <s v="Universida Nacional"/>
    <s v="NUVU - Proyectos - Documentos - 00. Administrativo - Todos los documentos"/>
    <x v="1"/>
    <s v="Alejandra Gomez"/>
    <s v="Nicolas Revollo"/>
    <s v="Juan Sanchéz"/>
    <s v="In Progress"/>
    <s v="N. A."/>
    <s v="55191 - Fixed_x000a_55192 - Ret_x000a_55193 - CLOUD"/>
    <s v="Cloud Operations"/>
  </r>
  <r>
    <s v="P1981"/>
    <x v="41"/>
    <x v="75"/>
    <s v="Gestión de Información"/>
    <s v="Cloud"/>
    <s v="UNA"/>
    <x v="3"/>
    <s v="Universidad Nacional de Colombia"/>
    <x v="0"/>
    <s v="Universida Nacional"/>
    <s v="NUVU - Proyectos - Documentos - 00. Administrativo - Todos los documentos"/>
    <x v="1"/>
    <s v="Alejandra Gomez"/>
    <s v="Nicolas Revollo"/>
    <s v="Juan Sanchéz"/>
    <s v="In Progress"/>
    <s v="N. A."/>
    <s v="55191 - Fixed_x000a_55192 - Ret_x000a_55193 - CLOUD"/>
    <s v="No Aplica"/>
  </r>
  <r>
    <s v="P1989"/>
    <x v="42"/>
    <x v="76"/>
    <s v="Servicios Quipu"/>
    <s v="Fixed"/>
    <s v="UNA"/>
    <x v="4"/>
    <s v="Universidad Nacional de Colombia"/>
    <x v="1"/>
    <s v="Universidad Nacional"/>
    <s v="OEF 3"/>
    <x v="1"/>
    <s v="Alejandra Gomez"/>
    <s v="Carlos Sierra"/>
    <s v="Angel Villasmil"/>
    <s v="Complete"/>
    <s v="N. A."/>
    <n v="55201"/>
    <s v="Operations_Team_01"/>
  </r>
  <r>
    <s v="P1975"/>
    <x v="43"/>
    <x v="77"/>
    <s v="Facultad de ingenieria"/>
    <s v="Ret"/>
    <s v="UNA"/>
    <x v="2"/>
    <s v="Universidad Nacional de Colombia"/>
    <x v="0"/>
    <s v="Universidad Nacional"/>
    <s v="NUVU - Proyectos - Documentos - 00. Administrativos - Todos los documentos"/>
    <x v="1"/>
    <s v="Alejandra Gomez"/>
    <s v="Nicolas Revollo"/>
    <s v="Juan Sanchéz"/>
    <s v="In Progress"/>
    <s v="N. A."/>
    <m/>
    <s v="Cloud Operations"/>
  </r>
  <r>
    <s v="P2036"/>
    <x v="43"/>
    <x v="78"/>
    <s v="Facultad de ingenieria"/>
    <s v="Cloud"/>
    <s v="UNA"/>
    <x v="3"/>
    <s v="Universidad Nacional de Colombia"/>
    <x v="0"/>
    <s v="Universidad Nacional"/>
    <s v="NUVU - Proyectos - Documentos - 00. Administrativos - Todos los documentos"/>
    <x v="1"/>
    <s v="Alejandra Gomez"/>
    <s v="Nicolas Revollo"/>
    <s v="Juan Sanchéz"/>
    <s v="In Progress"/>
    <s v="N. A."/>
    <m/>
    <m/>
  </r>
  <r>
    <s v="P1914"/>
    <x v="44"/>
    <x v="79"/>
    <s v="Development as a Service"/>
    <s v="Fixed"/>
    <s v="BID"/>
    <x v="4"/>
    <s v="Banco Interamericano de Desarrollo"/>
    <x v="0"/>
    <s v="Banco Interamericano de Desarrollo"/>
    <s v="PO 7000020361 &amp; PO 7000021280"/>
    <x v="8"/>
    <s v="Marcela Sanchéz"/>
    <s v="Carlos Sierra"/>
    <s v="Whitman Rojas"/>
    <s v="In Progress"/>
    <s v="N. A."/>
    <s v="55126 - Fixed_x000a_55127 - Ret_x000a_55128 - CLOUD_x000a_55129 - Ret SW"/>
    <s v="Whitman Rojas"/>
  </r>
  <r>
    <s v="P1992"/>
    <x v="45"/>
    <x v="80"/>
    <s v="Witty Operación"/>
    <s v="Ret"/>
    <s v="WIT"/>
    <x v="2"/>
    <s v="Witty"/>
    <x v="1"/>
    <s v="Inversiones Kappi S.A.S"/>
    <s v="Contrato operación Kappi"/>
    <x v="9"/>
    <s v="Daniela Muñoz"/>
    <s v="Carlos Sierra"/>
    <s v="Angel Villasmil"/>
    <s v="Complete"/>
    <s v="Carlos.Aroca"/>
    <n v="55204"/>
    <s v="Operations_Team_01"/>
  </r>
  <r>
    <s v="P1993"/>
    <x v="46"/>
    <x v="81"/>
    <s v="Soporte infraestructura"/>
    <s v="Ret"/>
    <s v="SIC"/>
    <x v="2"/>
    <s v="Superintendencia de Industria y Comercio"/>
    <x v="1"/>
    <s v="SIC"/>
    <s v="OC 128682"/>
    <x v="4"/>
    <s v="Marcela Sanchéz"/>
    <s v="Carlos Sierra"/>
    <s v="Gustavo Galvis"/>
    <s v="Complete"/>
    <s v="Carlos.Aroca"/>
    <n v="55205"/>
    <s v="No Aplica"/>
  </r>
  <r>
    <s v="P1915"/>
    <x v="44"/>
    <x v="82"/>
    <s v="Development as a Service"/>
    <s v="Ret"/>
    <s v="BID"/>
    <x v="2"/>
    <s v="Banco Interamericano de Desarrollo"/>
    <x v="0"/>
    <s v="Banco Interamericano de Desarrollo"/>
    <s v="PO 7000020361 &amp; PO 7000021280"/>
    <x v="8"/>
    <s v="Marcela Sanchéz"/>
    <s v="Carlos Sierra"/>
    <s v="Whitman Rojas"/>
    <s v="In Progress"/>
    <s v="N. A."/>
    <s v="55126 - Fixed_x000a_55127 - Ret_x000a_55128 - CLOUD_x000a_55129 - Ret SW"/>
    <s v="Whitman Rojas"/>
  </r>
  <r>
    <s v="P1916"/>
    <x v="44"/>
    <x v="83"/>
    <s v="Development as a Service"/>
    <s v="Cloud"/>
    <s v="BID"/>
    <x v="3"/>
    <s v="Banco Interamericano de Desarrollo"/>
    <x v="0"/>
    <s v="Banco Interamericano de Desarrollo"/>
    <s v="PO 7000020361 &amp; PO 7000021280"/>
    <x v="8"/>
    <s v="Marcela Sanchéz"/>
    <s v="Carlos Sierra"/>
    <s v="Whitman Rojas"/>
    <s v="In Progress"/>
    <s v="N. A."/>
    <s v="55126 - Fixed_x000a_55127 - Ret_x000a_55128 - CLOUD_x000a_55129 - Ret SW"/>
    <s v="No Aplica"/>
  </r>
  <r>
    <s v="P1917"/>
    <x v="44"/>
    <x v="84"/>
    <s v="Development as a Service"/>
    <s v="Ret SW"/>
    <s v="BID"/>
    <x v="1"/>
    <s v="Banco Interamericano de Desarrollo"/>
    <x v="0"/>
    <s v="Banco Interamericano de Desarrollo"/>
    <s v="PO 7000020361 &amp; PO 7000021280"/>
    <x v="8"/>
    <s v="Marcela Sanchéz"/>
    <s v="Carlos Sierra"/>
    <s v="Whitman Rojas"/>
    <s v="In Progress"/>
    <s v="N. A."/>
    <s v="55126 - Fixed_x000a_55127 - Ret_x000a_55128 - CLOUD_x000a_55129 - Ret SW"/>
    <s v="No Aplica"/>
  </r>
  <r>
    <s v="P2030"/>
    <x v="47"/>
    <x v="85"/>
    <s v="Servicios de arquitectura"/>
    <s v="Cloud"/>
    <s v="FDN"/>
    <x v="3"/>
    <s v="Financiera de Desarrollo Nacional"/>
    <x v="0"/>
    <s v="FND"/>
    <s v="Pedido 4402476"/>
    <x v="3"/>
    <s v="Alejandra Gomez"/>
    <s v="Nicolas Revollo"/>
    <s v="Juan Sanchéz"/>
    <s v="In Progress"/>
    <s v="N. A."/>
    <s v="57152 - CLOUD"/>
    <s v="No Aplica"/>
  </r>
  <r>
    <s v="P1990"/>
    <x v="48"/>
    <x v="86"/>
    <s v="Soporte y Mtto Quipu 2025"/>
    <s v="Ret"/>
    <s v="UNA"/>
    <x v="2"/>
    <s v="Universidad Nacional de Colombia"/>
    <x v="0"/>
    <s v="Universidad Nacional"/>
    <s v="NUVU - Proyectos - 00 Administrativo - Todos los documentos"/>
    <x v="1"/>
    <s v="Alejandra Gomez"/>
    <s v="Carlos Sierra"/>
    <s v="Angel Villasmil"/>
    <s v="In Progress"/>
    <s v="David.Gomez"/>
    <n v="55202"/>
    <s v="Operations_Team_01"/>
  </r>
  <r>
    <s v="P2017"/>
    <x v="49"/>
    <x v="87"/>
    <s v="Agente Cognitivo y Migración"/>
    <s v="Fixed"/>
    <s v="ACA"/>
    <x v="4"/>
    <s v="Alcaldia de Cali"/>
    <x v="1"/>
    <s v="Alcadia de Cali"/>
    <s v="Sin Contrato"/>
    <x v="2"/>
    <s v="Karen Arandia"/>
    <s v="Nicolas Revollo"/>
    <s v="Juan Sanchéz"/>
    <s v="Complete"/>
    <s v="N. A."/>
    <s v="57143 - Fixed_x000a_57144 - CLOUD"/>
    <s v="Cloud Operations"/>
  </r>
  <r>
    <s v="P2018"/>
    <x v="49"/>
    <x v="88"/>
    <s v="Agente Cognitivo y Migración"/>
    <s v="Cloud"/>
    <s v="ACA"/>
    <x v="3"/>
    <s v="Alcaldia de Cali"/>
    <x v="1"/>
    <s v="Alcadia de Cali"/>
    <s v="Sin Contrato"/>
    <x v="2"/>
    <s v="Karen Arandia"/>
    <s v="Nicolas Revollo"/>
    <s v="Juan Sanchéz"/>
    <s v="Complete"/>
    <s v="N. A."/>
    <s v="57143 - Fixed_x000a_57144 - CLOUD"/>
    <s v="No Aplica"/>
  </r>
  <r>
    <s v="P2009"/>
    <x v="50"/>
    <x v="89"/>
    <s v="IAPOL-G - IA Generative"/>
    <s v="Fixed"/>
    <s v="PON"/>
    <x v="4"/>
    <s v="Policia Nacional"/>
    <x v="0"/>
    <s v="Policia Nacional"/>
    <s v="OC-152418 _x000a_5. Documentos contractuales_x000a_"/>
    <x v="6"/>
    <s v="Marcela Sanchéz"/>
    <s v="Moises Rojas"/>
    <s v="Juan Goméz"/>
    <s v="In Progress"/>
    <s v="Victor.Castellanos"/>
    <s v="56833 - Fixed_x000a_56834 - Ret SW_x000a_56835 - Cloud"/>
    <s v="Juan Goméz"/>
  </r>
  <r>
    <s v="P2010"/>
    <x v="50"/>
    <x v="90"/>
    <s v="IAPOL-G - IA Generative"/>
    <s v="Ret SW"/>
    <s v="PON"/>
    <x v="1"/>
    <s v="Policia Nacional"/>
    <x v="0"/>
    <s v="Policia Nacional"/>
    <s v="OC-152418 _x000a_5. Documentos contractuales_x000a_"/>
    <x v="6"/>
    <s v="Marcela Sanchéz"/>
    <s v="Moises Rojas"/>
    <s v="Juan Goméz"/>
    <s v="In Progress"/>
    <s v="Victor.Castellanos"/>
    <s v="56833 - Fixed_x000a_56834 - Ret SW_x000a_56835 - Cloud"/>
    <s v="No Aplica"/>
  </r>
  <r>
    <s v="P2011"/>
    <x v="50"/>
    <x v="91"/>
    <s v="IAPOL-G - IA Generative"/>
    <s v="Cloud"/>
    <s v="PON"/>
    <x v="3"/>
    <s v="Policia Nacional"/>
    <x v="0"/>
    <s v="Policia Nacional"/>
    <s v="OC-152418 _x000a_5. Documentos contractuales_x000a_"/>
    <x v="6"/>
    <s v="Marcela Sanchéz"/>
    <s v="Moises Rojas"/>
    <s v="Juan Goméz"/>
    <s v="In Progress"/>
    <s v="Victor.Castellanos"/>
    <s v="56833 - Fixed_x000a_56834 - Ret SW_x000a_56835 - Cloud"/>
    <s v="No Aplica"/>
  </r>
  <r>
    <s v="P2023"/>
    <x v="50"/>
    <x v="92"/>
    <s v="IAPOL-G - IA Generative"/>
    <s v="Ret"/>
    <s v="PON"/>
    <x v="2"/>
    <s v="Policia Nacional"/>
    <x v="0"/>
    <s v="Policia Nacional"/>
    <s v="OC-152418 _x000a_5. Documentos contractuales_x000a_"/>
    <x v="6"/>
    <s v="Marcela Sanchéz"/>
    <s v="Moises Rojas"/>
    <s v="Juan Goméz"/>
    <s v="In Progress"/>
    <s v="Victor.Castellanos"/>
    <s v="56833 - Fixed_x000a_56834 - Ret SW_x000a_56835 - Cloud"/>
    <s v="Victor.Castellanos"/>
  </r>
  <r>
    <s v="P2226"/>
    <x v="50"/>
    <x v="93"/>
    <s v="IAPOL-G - IA Generative"/>
    <s v="Other Vendors"/>
    <s v="PON"/>
    <x v="2"/>
    <s v="Policia Nacional"/>
    <x v="0"/>
    <s v="Policia Nacional"/>
    <s v="OC-152418 _x000a_5. Documentos contractuales_x000a_"/>
    <x v="6"/>
    <s v="Marcela Sanchéz"/>
    <s v="Moises Rojas"/>
    <s v="Juan Goméz"/>
    <s v="In Progress"/>
    <s v="Victor.Castellanos"/>
    <s v="56833 - Fixed_x000a_56834 - Ret SW_x000a_56835 - Cloud"/>
    <s v="Victor.Castellanos"/>
  </r>
  <r>
    <s v="P2024"/>
    <x v="51"/>
    <x v="94"/>
    <s v="Digitalización archivo físico"/>
    <s v="Cloud"/>
    <s v="CSJ"/>
    <x v="3"/>
    <s v="Consejo Superior de la Judicatura"/>
    <x v="1"/>
    <s v="Consejo Superior de la Judicatura"/>
    <s v="Pendiente el contrato"/>
    <x v="3"/>
    <s v="Ciliana Capera"/>
    <s v="Moises Rojas"/>
    <s v="Gersón Pineda"/>
    <s v="Complete"/>
    <s v="N. A."/>
    <s v="57146 - CLOUD_x000a_57147 - Fixed"/>
    <s v="No Aplica"/>
  </r>
  <r>
    <s v="P2025"/>
    <x v="51"/>
    <x v="95"/>
    <s v="Digitalización archivo físico"/>
    <s v="Fixed"/>
    <s v="CSJ"/>
    <x v="4"/>
    <s v="Consejo Superior de la Judicatura"/>
    <x v="1"/>
    <s v="Consejo Superior de la Judicatura"/>
    <s v="Pendiente el contrato"/>
    <x v="3"/>
    <s v="Ciliana Capera"/>
    <s v="Moises Rojas"/>
    <s v="Gersón Pineda"/>
    <s v="Complete"/>
    <s v="N. A."/>
    <s v="57146 - CLOUD_x000a_57147 - Fixed"/>
    <s v="Gersón Pineda"/>
  </r>
  <r>
    <s v="P2026"/>
    <x v="18"/>
    <x v="96"/>
    <s v="Migración AWS"/>
    <s v="Cloud"/>
    <s v="CSJ"/>
    <x v="3"/>
    <s v="Consejo Superior de la Judicatura"/>
    <x v="1"/>
    <s v="Consejo Superior de la Judicatura"/>
    <s v="OC 122576"/>
    <x v="3"/>
    <s v="Andres Barrantes"/>
    <s v="Moises Rojas"/>
    <s v="Gerson Pineda"/>
    <s v="Complete"/>
    <s v="N. A."/>
    <s v="55136 - Fixed_x000a_57148 - CLOUD"/>
    <s v="No Aplica"/>
  </r>
  <r>
    <s v="P2026"/>
    <x v="2"/>
    <x v="97"/>
    <s v="All-Start Program LATAM"/>
    <s v="Internal"/>
    <s v="BLD"/>
    <x v="0"/>
    <s v="Blend360"/>
    <x v="0"/>
    <s v="N.A."/>
    <s v="N.A."/>
    <x v="0"/>
    <s v="N.A."/>
    <s v="N.A."/>
    <s v="N.A."/>
    <s v="In Progress"/>
    <s v="N. A."/>
    <n v="5045"/>
    <s v="No Aplica"/>
  </r>
  <r>
    <s v="P2027"/>
    <x v="52"/>
    <x v="98"/>
    <s v="PoC Agente para exposición contenido"/>
    <s v="Cloud"/>
    <s v="CSJ"/>
    <x v="3"/>
    <s v="Consejo Superior de la Judicatura"/>
    <x v="1"/>
    <s v="Consejo Superior de la Judicatura"/>
    <s v="Sin contrato"/>
    <x v="3"/>
    <s v="Ciliana Capera"/>
    <s v="Moises Rojas"/>
    <s v="Gerson Pineda"/>
    <s v="Complete"/>
    <s v="N. A."/>
    <s v="57149 - CLOUD_x000a_57150 - Fixed_x000a_57151 - Ret SW"/>
    <s v="No Aplica"/>
  </r>
  <r>
    <s v="P2028"/>
    <x v="52"/>
    <x v="99"/>
    <s v="PoC Agente para exposición contenido"/>
    <s v="Fixed"/>
    <s v="CSJ"/>
    <x v="4"/>
    <s v="Consejo Superior de la Judicatura"/>
    <x v="1"/>
    <s v="Consejo Superior de la Judicatura"/>
    <s v="Sin contrato"/>
    <x v="3"/>
    <s v="Ciliana Capera"/>
    <s v="Moises Rojas"/>
    <s v="Gersón Pineda"/>
    <s v="Complete"/>
    <s v="N. A."/>
    <s v="57149 - CLOUD_x000a_57150 - Fixed_x000a_57151 - Ret SW"/>
    <s v="Gersón Pineda"/>
  </r>
  <r>
    <s v="P2029"/>
    <x v="52"/>
    <x v="100"/>
    <s v="PoC Agente para exposición contenido"/>
    <s v="Ret SW"/>
    <s v="CSJ"/>
    <x v="1"/>
    <s v="Consejo Superior de la Judicatura"/>
    <x v="1"/>
    <s v="Consejo Superior de la Judicatura"/>
    <s v="Sin contrato"/>
    <x v="3"/>
    <s v="Ciliana Capera"/>
    <s v="Moises Rojas"/>
    <s v="Gerson Pineda"/>
    <s v="Complete"/>
    <s v="N. A."/>
    <s v="57149 - CLOUD_x000a_57150 - Fixed_x000a_57151 - Ret SW"/>
    <s v="No Aplica"/>
  </r>
  <r>
    <s v="P2031"/>
    <x v="53"/>
    <x v="101"/>
    <s v="Evolución Integral Mojana"/>
    <s v="Cloud"/>
    <s v="FOA"/>
    <x v="3"/>
    <s v="Fondo Adaptación"/>
    <x v="0"/>
    <s v="Fondo Adaptación"/>
    <s v="OC146151-_x000a_5.Documentos Contractuales"/>
    <x v="6"/>
    <s v="Karen Arandia"/>
    <s v="Carlos Sierra"/>
    <s v="Gustavo Galvis"/>
    <s v="In Progress"/>
    <s v="N. A."/>
    <s v="57153 - CLOUD_x000a_57154 - Fixed_x000a_57155 - Ret_x000a_57156 - Ret SW"/>
    <s v="N. A."/>
  </r>
  <r>
    <s v="P2032"/>
    <x v="53"/>
    <x v="102"/>
    <s v="Evolución Integral Mojana"/>
    <s v="Fixed"/>
    <s v="FOA"/>
    <x v="4"/>
    <s v="Fondo Adaptación"/>
    <x v="0"/>
    <s v="Fondo Adaptación"/>
    <s v="OC146151_x000a_5.Documentos Contractuales"/>
    <x v="6"/>
    <s v="Karen Arandia"/>
    <s v="Carlos Sierra"/>
    <s v="Gustavo Galvis"/>
    <s v="In Progress"/>
    <s v="N. A."/>
    <s v="57153 - CLOUD_x000a_57154 - Fixed_x000a_57155 - Ret_x000a_57156 - Ret SW"/>
    <s v="Diego Saavedra"/>
  </r>
  <r>
    <s v="P2033"/>
    <x v="53"/>
    <x v="103"/>
    <s v="Evolución Integral Mojana"/>
    <s v="Ret"/>
    <s v="FOA"/>
    <x v="2"/>
    <s v="Fondo Adaptación"/>
    <x v="0"/>
    <s v="Fondo Adaptación"/>
    <s v="OC146151_x000a_5.Documentos Contractuales"/>
    <x v="6"/>
    <s v="Karen Arandia"/>
    <s v="Carlos Sierra"/>
    <s v="Gustavo Galvis"/>
    <s v="In Progress"/>
    <s v="Carlos.Aroca"/>
    <s v="57153 - CLOUD_x000a_57154 - Fixed_x000a_57155 - Ret_x000a_57156 - Ret SW"/>
    <s v="Ronald.Porras"/>
  </r>
  <r>
    <s v="P2034"/>
    <x v="53"/>
    <x v="104"/>
    <s v="Evolución Integral Mojana"/>
    <s v="Ret SW"/>
    <s v="FOA"/>
    <x v="1"/>
    <s v="Fondo Adaptación"/>
    <x v="0"/>
    <s v="Fondo Adaptación"/>
    <s v="OC146151_x000a_5.Documentos Contractuales"/>
    <x v="6"/>
    <s v="Karen Arandia"/>
    <s v="Carlos Sierra"/>
    <s v="Gustavo Galvis"/>
    <s v="In Progress"/>
    <s v="N. A."/>
    <s v="57153 - CLOUD_x000a_57154 - Fixed_x000a_57155 - Ret_x000a_57156 - Ret SW"/>
    <s v="No Aplica"/>
  </r>
  <r>
    <s v="P2224"/>
    <x v="53"/>
    <x v="105"/>
    <s v="Evolución Integral Mojana"/>
    <s v="Ret Other Vendors"/>
    <s v="FOA"/>
    <x v="2"/>
    <s v="Fondo Adaptación"/>
    <x v="0"/>
    <s v="Fondo Adaptación"/>
    <s v="OC146151_x000a_5.Documentos Contractuales"/>
    <x v="6"/>
    <s v="Karen Arandia"/>
    <s v="Carlos Sierra"/>
    <s v="Gustavo Galvis"/>
    <s v="In Progress"/>
    <s v="N. A."/>
    <s v="67635 - Other Vendor"/>
    <s v="No Aplica"/>
  </r>
  <r>
    <s v="P2037"/>
    <x v="54"/>
    <x v="106"/>
    <s v="Facultad de Derecho concurso méritos"/>
    <s v="Cloud"/>
    <s v="UNA"/>
    <x v="3"/>
    <s v="Universidad Nacional de Colombia"/>
    <x v="0"/>
    <s v="Universida Nacional"/>
    <s v="NUVU - Proyectos - Documentos - 00. Administrativos - Todos los documentos"/>
    <x v="1"/>
    <s v="Alejandra Gomez"/>
    <s v="Nicolas Revollo"/>
    <s v="Juan Sanchéz"/>
    <s v="In Progress"/>
    <s v="N. A."/>
    <s v="57159 - CLOUD_x000a_57160 - Ret"/>
    <s v="No Aplica"/>
  </r>
  <r>
    <s v="P2038"/>
    <x v="54"/>
    <x v="107"/>
    <s v="Facultad de Derecho concurso méritos"/>
    <s v="Ret"/>
    <s v="UNA"/>
    <x v="2"/>
    <s v="Universidad Nacional de Colombia"/>
    <x v="0"/>
    <s v="Universida Nacional"/>
    <s v="NUVU - Proyectos - Documentos - 00. Administrativos - Todos los documentos"/>
    <x v="1"/>
    <s v="Alejandra Gomez"/>
    <s v="Nicolas Revollo"/>
    <s v="Juan Sanchéz"/>
    <s v="In Progress"/>
    <s v="N. A."/>
    <s v="57159 - CLOUD_x000a_57160 - Ret"/>
    <s v="Cloud Operations"/>
  </r>
  <r>
    <s v="P2066"/>
    <x v="55"/>
    <x v="108"/>
    <s v="OSE 26 Admisiones"/>
    <s v="Cloud"/>
    <s v="UNA"/>
    <x v="3"/>
    <s v="Universidad Nacional de Colombia"/>
    <x v="0"/>
    <s v="Universidad Nacional"/>
    <s v="NUVU - Proyectos - Documentos - 00. Administrativos - Todos los documentos"/>
    <x v="1"/>
    <s v="Alejandra Gomez"/>
    <s v="Nicolas Revollo"/>
    <s v="Juan Sanchéz"/>
    <s v="In Progress"/>
    <s v="N. A."/>
    <s v="57866 - Cloud"/>
    <s v="No Aplica"/>
  </r>
  <r>
    <s v="P2039"/>
    <x v="8"/>
    <x v="109"/>
    <s v="Multicash Operación"/>
    <s v="Cloud"/>
    <s v="AGR"/>
    <x v="3"/>
    <s v="Fiduagraria"/>
    <x v="1"/>
    <s v="Fiduagraria - Multicash"/>
    <s v="Otrosí No 2 Contrato 040 de 2021"/>
    <x v="2"/>
    <s v="Alejandra Gomez"/>
    <s v="Carlos Sierra"/>
    <s v="Angel Villasmil"/>
    <s v="Complete"/>
    <m/>
    <m/>
    <m/>
  </r>
  <r>
    <s v="P2040"/>
    <x v="8"/>
    <x v="110"/>
    <s v="Quicksight Operación "/>
    <s v="Cloud"/>
    <s v="AGR"/>
    <x v="3"/>
    <s v="Fiduagraria"/>
    <x v="1"/>
    <s v="Fiduagraria- CP Suite"/>
    <s v="OTROSI 3 CTO 032-2021. HIGH TECH"/>
    <x v="2"/>
    <s v="Alejandra Gomez"/>
    <s v="Carlos Sierra"/>
    <s v="Angel Villasmil"/>
    <s v="Complete"/>
    <m/>
    <m/>
    <m/>
  </r>
  <r>
    <s v="P2041"/>
    <x v="8"/>
    <x v="111"/>
    <s v="Snaptask Operación "/>
    <s v="Ret SW"/>
    <s v="AGR"/>
    <x v="1"/>
    <s v="Fiduagraria"/>
    <x v="1"/>
    <s v="Fiduagraria - Quicksight "/>
    <s v="OTROSI 3 CTO 037-2021. HIGH TECH."/>
    <x v="2"/>
    <s v="Alejandra Gomez"/>
    <s v="Carlos Sierra"/>
    <s v="Angel Villasmil"/>
    <s v="Complete"/>
    <m/>
    <m/>
    <m/>
  </r>
  <r>
    <s v="P2067"/>
    <x v="56"/>
    <x v="112"/>
    <s v="OSE 43 Moodle Extensión"/>
    <s v="Cloud"/>
    <s v="UNA"/>
    <x v="3"/>
    <s v="Universidad Nacional de Colombia"/>
    <x v="0"/>
    <s v="Universidad Nacional"/>
    <s v="NUVU - Proyectos - Documentos - 00. Administrativos - Todos los documentos"/>
    <x v="1"/>
    <s v="Alejandra Gomez"/>
    <s v="Nicolas Revollo"/>
    <s v="Juan Sanchéz"/>
    <s v="In Progress"/>
    <s v="N. A."/>
    <s v="57867 - Cloud"/>
    <s v="No Aplica"/>
  </r>
  <r>
    <s v="P2560"/>
    <x v="56"/>
    <x v="113"/>
    <s v="OSE 43 Moodle Extensión"/>
    <s v="Ret"/>
    <s v="UNA"/>
    <x v="2"/>
    <s v="Universidad Nacional de Colombia"/>
    <x v="0"/>
    <s v="Universidad Nacional"/>
    <s v="NUVU - Proyectos - Documentos - 00. Administrativos - Todos los documentos"/>
    <x v="1"/>
    <s v="Alejandra Gomez"/>
    <s v="Nicolas Revollo"/>
    <s v="Juan Sanchéz"/>
    <s v="In Progress"/>
    <m/>
    <n v="2623"/>
    <m/>
  </r>
  <r>
    <s v="P1991"/>
    <x v="57"/>
    <x v="114"/>
    <s v="Dinara de UNAL"/>
    <s v="Ret"/>
    <s v="UNA"/>
    <x v="2"/>
    <s v="Universidad Nacional de Colombia"/>
    <x v="0"/>
    <s v="Universidad Nacional"/>
    <s v="NUVU - Proyectos - Documentos - 00. Administrativos - Todos los documentos"/>
    <x v="1"/>
    <s v="Alejandra Gomez"/>
    <s v="Nicolas Revollo"/>
    <s v="Juan Sanchéz"/>
    <s v="In Progress"/>
    <m/>
    <n v="2618"/>
    <m/>
  </r>
  <r>
    <s v="P2061"/>
    <x v="57"/>
    <x v="115"/>
    <s v="Dinara de UNAL"/>
    <s v="Cloud"/>
    <s v="UNA"/>
    <x v="3"/>
    <s v="Universidad Nacional de Colombia"/>
    <x v="0"/>
    <s v="Universidad Nacional"/>
    <s v="NUVU - Proyectos - Documentos - 00. Administrativos - Todos los documentos"/>
    <x v="1"/>
    <s v="Alejandra Gomez"/>
    <s v="Nicolas Revollo"/>
    <s v="Juan Sanchéz"/>
    <s v="In Progress"/>
    <s v="N. A."/>
    <s v="57861 - Cloud"/>
    <s v="No Aplica"/>
  </r>
  <r>
    <s v="P2062"/>
    <x v="58"/>
    <x v="116"/>
    <s v="Facultad de Derecho"/>
    <s v="Cloud"/>
    <s v="UNA"/>
    <x v="3"/>
    <s v="Universidad Nacional de Colombia"/>
    <x v="0"/>
    <s v="Universidad Nacional"/>
    <s v="NUVU - Proyectos - Documentos - 00. Administrativos - Todos los documentos"/>
    <x v="1"/>
    <s v="Alejandra Gomez"/>
    <s v="Nicolas Revollo"/>
    <s v="Juan Sanchéz"/>
    <s v="In Progress"/>
    <s v="N. A."/>
    <s v="57862 - Cloud"/>
    <s v="No Aplica"/>
  </r>
  <r>
    <s v="P2556"/>
    <x v="58"/>
    <x v="117"/>
    <s v="Facultad de Derecho"/>
    <s v="Ret"/>
    <s v="UNA"/>
    <x v="2"/>
    <s v="Universidad Nacional de Colombia"/>
    <x v="0"/>
    <s v="Universidad Nacional"/>
    <s v="NUVU - Proyectos - Documentos - 00. Administrativos - Todos los documentos"/>
    <x v="1"/>
    <s v="Alejandra Gomez"/>
    <s v="Nicolas Revollo"/>
    <s v="Juan Sanchéz"/>
    <s v="In Progress"/>
    <m/>
    <n v="2619"/>
    <m/>
  </r>
  <r>
    <s v="P2065"/>
    <x v="59"/>
    <x v="118"/>
    <s v="Unisalud"/>
    <s v="Cloud"/>
    <s v="UNA"/>
    <x v="3"/>
    <s v="Universidad Nacional de Colombia"/>
    <x v="0"/>
    <s v="Universidad Nacional"/>
    <s v="NUVU - Proyectos - Documentos - 00. Administrativos - Todos los documentos"/>
    <x v="1"/>
    <s v="Alejandra Gomez"/>
    <s v="Nicolas Revollo"/>
    <s v="Juan Sanchéz"/>
    <s v="In Progress"/>
    <s v="N. A."/>
    <s v="57865 - Cloud"/>
    <s v="No Aplica"/>
  </r>
  <r>
    <s v="P2019"/>
    <x v="60"/>
    <x v="119"/>
    <s v="Vigilancia y MET Plus"/>
    <s v="Fixed"/>
    <s v="CJU"/>
    <x v="4"/>
    <s v="Coljuegos"/>
    <x v="0"/>
    <s v="Coljuegos S.A"/>
    <s v="OC 145303 - 20250425"/>
    <x v="4"/>
    <s v="Karen Arandia"/>
    <s v="Moises Rojas"/>
    <s v="Brandon Ardila"/>
    <s v="In Progress"/>
    <s v="Fernando.Garcia"/>
    <s v="57245 - Fixed_x000a_57246 - CLOUD_x000a_57247 - Ret_x000a_57248 - Ret SW"/>
    <s v="Brandon Ardila"/>
  </r>
  <r>
    <s v="P2020"/>
    <x v="60"/>
    <x v="120"/>
    <s v="Vigilancia y MET Plus"/>
    <s v="Cloud"/>
    <s v="CJU"/>
    <x v="3"/>
    <s v="Coljuegos"/>
    <x v="0"/>
    <s v="Coljuegos S.A"/>
    <s v="OC 145303 - 20250425"/>
    <x v="4"/>
    <s v="Karen Arandia"/>
    <s v="Moises Rojas"/>
    <s v="Brandon Ardila"/>
    <s v="In Progress"/>
    <s v="Fernando.Garcia"/>
    <s v="57245 - Fixed_x000a_57246 - CLOUD_x000a_57247 - Ret_x000a_57248 - Ret SW"/>
    <s v="No Aplica"/>
  </r>
  <r>
    <s v="P2083"/>
    <x v="61"/>
    <x v="121"/>
    <s v="Product Houndoc Latam"/>
    <s v="Internal"/>
    <s v="BLD"/>
    <x v="0"/>
    <s v="Blend360"/>
    <x v="0"/>
    <s v="N.A."/>
    <s v="N.A."/>
    <x v="0"/>
    <s v="N.A."/>
    <s v="N.A."/>
    <s v="N.A."/>
    <s v="In Progress"/>
    <s v="N. A."/>
    <n v="5045"/>
    <s v="No Aplica"/>
  </r>
  <r>
    <s v="P2083"/>
    <x v="62"/>
    <x v="122"/>
    <s v="Producto - Houndoc"/>
    <s v="Internal"/>
    <s v="BLD"/>
    <x v="0"/>
    <s v="Blend360"/>
    <x v="0"/>
    <s v="N.A."/>
    <s v="N.A."/>
    <x v="10"/>
    <s v="Fernando Ortega"/>
    <s v="N.A."/>
    <s v="N.A."/>
    <s v="In Progress"/>
    <s v="N. A."/>
    <n v="5053"/>
    <s v="No Aplica"/>
  </r>
  <r>
    <s v="P2021"/>
    <x v="60"/>
    <x v="123"/>
    <s v="Vigilancia y MET Plus"/>
    <s v="Ret"/>
    <s v="CJU"/>
    <x v="2"/>
    <s v="Coljuegos"/>
    <x v="0"/>
    <s v="Coljuegos S.A"/>
    <s v="OC 145303 - 20250425"/>
    <x v="4"/>
    <s v="Karen Arandia"/>
    <s v="Moises Rojas"/>
    <s v="Brandon Ardila"/>
    <s v="In Progress"/>
    <s v="Fernando.Garcia"/>
    <s v="57245 - Fixed_x000a_57246 - CLOUD_x000a_57247 - Ret_x000a_57248 - Ret SW"/>
    <s v="Brandon Ardila"/>
  </r>
  <r>
    <s v="P2022"/>
    <x v="60"/>
    <x v="124"/>
    <s v="Vigilancia y MET Plus"/>
    <s v="Ret SW"/>
    <s v="CJU"/>
    <x v="1"/>
    <s v="Coljuegos"/>
    <x v="0"/>
    <s v="Coljuegos S.A"/>
    <s v="OC 145303 - 20250425"/>
    <x v="4"/>
    <s v="Karen Arandia"/>
    <s v="Moises Rojas"/>
    <s v="Brandon Ardila"/>
    <s v="In Progress"/>
    <s v="Fernando.Garcia"/>
    <s v="57245 - Fixed_x000a_57246 - CLOUD_x000a_57247 - Ret_x000a_57248 - Ret SW"/>
    <s v="No Aplica"/>
  </r>
  <r>
    <s v="P2059"/>
    <x v="63"/>
    <x v="125"/>
    <s v="Contrato 4 - Servicio Computacion"/>
    <s v="Cloud"/>
    <s v="UNA"/>
    <x v="3"/>
    <s v="Universidad Nacional de Colombia"/>
    <x v="0"/>
    <s v="Universidad Nacional"/>
    <s v="NUVU - Proyectos - Documentos - 00. Administrativos - Todos los documentos"/>
    <x v="1"/>
    <s v="Alejandra Gomez"/>
    <s v="Nicolas Revollo"/>
    <s v="Juan Sanchéz"/>
    <s v="In Progress"/>
    <s v="Carlos.Aroca"/>
    <s v="57859 - Cloud_x000a_57868 - Ret"/>
    <s v="No Aplica"/>
  </r>
  <r>
    <s v="P2068"/>
    <x v="63"/>
    <x v="126"/>
    <s v="Contrato 4 - Servicio Computacion"/>
    <s v="Ret"/>
    <s v="UNA"/>
    <x v="2"/>
    <s v="Universidad Nacional de Colombia"/>
    <x v="0"/>
    <s v="Universidad Nacional"/>
    <s v="NUVU - Proyectos - Documentos - 00. Administrativos - Todos los documentos"/>
    <x v="1"/>
    <s v="Alejandra Gomez"/>
    <s v="Nicolas Revollo"/>
    <s v="Juan Sanchéz"/>
    <s v="In Progress"/>
    <s v="Carlos.Aroca"/>
    <s v="57859 - Cloud_x000a_57868 - Ret"/>
    <s v="Cloud Operations"/>
  </r>
  <r>
    <s v="P2063"/>
    <x v="64"/>
    <x v="127"/>
    <s v="Ofc Gestion Ambiental"/>
    <s v="Cloud"/>
    <s v="UNA"/>
    <x v="3"/>
    <s v="Universidad Nacional de Colombia"/>
    <x v="0"/>
    <s v="Universidad Nacional"/>
    <s v="NUVU - Proyectos - Documentos - 00. Administrativos - Todos los documentos"/>
    <x v="1"/>
    <s v="Alejandra Gomez"/>
    <s v="Nicolas Revollo"/>
    <s v="Juan Sanchéz"/>
    <s v="In Progress"/>
    <s v="N. A."/>
    <s v="57863 - Cloud_x000a_57864 - Fixed"/>
    <s v="No Aplica"/>
  </r>
  <r>
    <s v="P2064"/>
    <x v="64"/>
    <x v="128"/>
    <s v="Ofc Gestion Ambiental"/>
    <s v="Fixed"/>
    <s v="UNA"/>
    <x v="4"/>
    <s v="Universidad Nacional de Colombia"/>
    <x v="0"/>
    <s v="Universidad Nacional"/>
    <s v="NUVU - Proyectos - Documentos - 00. Administrativos - Todos los documentos"/>
    <x v="1"/>
    <s v="Alejandra Gomez"/>
    <s v="Nicolas Revollo"/>
    <s v="Juan Sanchéz"/>
    <s v="In Progress"/>
    <s v="N. A."/>
    <s v="57863 - Cloud_x000a_57864 - Fixed"/>
    <s v="Cloud Operations"/>
  </r>
  <r>
    <s v="P2086"/>
    <x v="65"/>
    <x v="129"/>
    <s v="Continuidad Operación AWS"/>
    <s v="Cloud"/>
    <s v="CSJ"/>
    <x v="3"/>
    <s v="Consejo Superior de la Judicatura"/>
    <x v="0"/>
    <s v="Consejo Superior de la Judicatura"/>
    <m/>
    <x v="3"/>
    <s v="Ciliana Capera"/>
    <s v="Nicolas Revollo"/>
    <s v="Juan Sanchéz"/>
    <s v="In Progress"/>
    <m/>
    <n v="58571"/>
    <s v="No Aplica"/>
  </r>
  <r>
    <s v="P2087"/>
    <x v="65"/>
    <x v="130"/>
    <s v="Continuidad Operación AWS"/>
    <s v="Ret"/>
    <s v="CSJ"/>
    <x v="2"/>
    <s v="Consejo Superior de la Judicatura"/>
    <x v="0"/>
    <s v="Consejo Superior de la Judicatura"/>
    <m/>
    <x v="3"/>
    <s v="Ciliana Capera"/>
    <s v="Nicolas Revollo"/>
    <s v="Juan Sanchéz"/>
    <s v="In Progress"/>
    <m/>
    <n v="58572"/>
    <s v="Cloud Operations"/>
  </r>
  <r>
    <s v="P2362"/>
    <x v="65"/>
    <x v="131"/>
    <s v="Continuidad Operación AWS"/>
    <s v="Ret Other Vendors"/>
    <s v="CSJ"/>
    <x v="2"/>
    <s v="Consejo Superior de la Judicatura"/>
    <x v="0"/>
    <s v="Consejo Superior de la Judicatura"/>
    <m/>
    <x v="3"/>
    <s v="Ciliana Capera"/>
    <s v="Nicolas Revollo"/>
    <s v="Juan Sanchéz"/>
    <s v="In Progress"/>
    <m/>
    <n v="58572"/>
    <s v="Cloud Operations"/>
  </r>
  <r>
    <s v="P2096"/>
    <x v="66"/>
    <x v="132"/>
    <s v="Soporte y Mantenimiento Quipu 2025"/>
    <s v="Ret"/>
    <s v="SAN"/>
    <x v="2"/>
    <s v="Sanidad"/>
    <x v="0"/>
    <s v="Dirección de Sanidad"/>
    <s v="QUIPU 07-7-20048-25"/>
    <x v="8"/>
    <s v="Marcela Sanchéz"/>
    <s v="Carlos Sierra"/>
    <s v="Sebastian Vidal"/>
    <s v="In Progress"/>
    <s v="David.Gomez"/>
    <n v="58882"/>
    <s v="Operations_Team_01"/>
  </r>
  <r>
    <s v="P2097"/>
    <x v="66"/>
    <x v="133"/>
    <s v="Soporte y Mantenimiento Quipu 2025"/>
    <s v="Fixed"/>
    <s v="SAN"/>
    <x v="4"/>
    <s v="Sanidad"/>
    <x v="1"/>
    <s v="Dirección de Sanidad"/>
    <s v="Contrato 07-7-20157-24"/>
    <x v="4"/>
    <s v="Marcela Sanchéz"/>
    <s v="Carlos Sierra"/>
    <s v="Sebastian Vidal"/>
    <s v="In Progress"/>
    <s v="David.Gomez"/>
    <n v="58883"/>
    <s v="Operations_Team_01"/>
  </r>
  <r>
    <s v="P2121"/>
    <x v="67"/>
    <x v="134"/>
    <s v="Agente Cognitivo e Infraestructura AWS"/>
    <s v="Cloud"/>
    <s v="CAT"/>
    <x v="3"/>
    <s v="Unidad Administrativa Especial de Catastro Distrital"/>
    <x v="0"/>
    <s v="Unidad Administrativa de Catastro"/>
    <s v="NUVU - Proyectos - 01 - Habilitadores - Todos los documentos"/>
    <x v="1"/>
    <s v="Alejandra Gomez"/>
    <s v="Carlos Sierra"/>
    <s v="Marcelo Bonivento"/>
    <s v="In Progress"/>
    <m/>
    <n v="9999"/>
    <s v="No Aplica"/>
  </r>
  <r>
    <s v="P2122"/>
    <x v="67"/>
    <x v="135"/>
    <s v="Agente Cognitivo e Infraestructura AWS"/>
    <s v="Ret"/>
    <s v="CAT"/>
    <x v="2"/>
    <s v="Unidad Administrativa Especial de Catastro Distrital"/>
    <x v="0"/>
    <s v="Unidad Administrativa de Catastro"/>
    <s v="NUVU - Proyectos - 01 - Habilitadores - Todos los documentos"/>
    <x v="1"/>
    <s v="Alejandra Gomez"/>
    <s v="Carlos Sierra"/>
    <s v="Marcelo Bonivento"/>
    <s v="In Progress"/>
    <m/>
    <n v="9999"/>
    <s v="Marcelo Bonivento"/>
  </r>
  <r>
    <s v="P2123"/>
    <x v="67"/>
    <x v="136"/>
    <s v="Agente Cognitivo e Infraestructura AWS"/>
    <s v="Ret SW"/>
    <s v="CAT"/>
    <x v="1"/>
    <s v="Unidad Administrativa Especial de Catastro Distrital"/>
    <x v="0"/>
    <s v="Unidad Administrativa de Catastro"/>
    <s v="NUVU - Proyectos - 01 - Habilitadores - Todos los documentos"/>
    <x v="1"/>
    <s v="Alejandra Gomez"/>
    <s v="Carlos Sierra"/>
    <s v="Marcelo Bonivento"/>
    <s v="In Progress"/>
    <m/>
    <n v="9999"/>
    <s v="No Aplica"/>
  </r>
  <r>
    <s v="P2124"/>
    <x v="67"/>
    <x v="137"/>
    <s v="Agente Cognitivo e Infraestructura AWS"/>
    <s v="Fixed"/>
    <s v="CAT"/>
    <x v="4"/>
    <s v="Unidad Administrativa Especial de Catastro Distrital"/>
    <x v="0"/>
    <s v="Unidad Administrativa de Catastro"/>
    <s v="NUVU - Proyectos - 01 - Habilitadores - Todos los documentos"/>
    <x v="1"/>
    <s v="Alejandra Gomez"/>
    <s v="Carlos Sierra"/>
    <s v="Marcelo Bonivento"/>
    <s v="In Progress"/>
    <m/>
    <n v="9999"/>
    <s v="Marcelo Bonivento"/>
  </r>
  <r>
    <s v="P2192"/>
    <x v="68"/>
    <x v="138"/>
    <s v="Soporte y Mtto Quipu 2025"/>
    <s v="Ret"/>
    <s v="UCA"/>
    <x v="2"/>
    <s v="Universidad de Caldas"/>
    <x v="0"/>
    <s v="Universidad de Caldas"/>
    <s v="ODS 654 - 2025"/>
    <x v="1"/>
    <s v="Alejandra Gomez"/>
    <s v="Carlos Sierra"/>
    <s v="Sebastian Vidal"/>
    <s v="In Progress"/>
    <s v="Valentina.Salazar"/>
    <s v="65898 - Ret"/>
    <m/>
  </r>
  <r>
    <s v="P2194"/>
    <x v="68"/>
    <x v="139"/>
    <s v="Soporte y Mtto Quipu 2025"/>
    <s v="Cloud"/>
    <s v="UCA"/>
    <x v="3"/>
    <s v="Universidad de Caldas"/>
    <x v="0"/>
    <s v="Universidad de Caldas"/>
    <s v="ODS 654 - 2025"/>
    <x v="1"/>
    <s v="Alejandra Gomez"/>
    <s v="Carlos Sierra"/>
    <s v="Sebastian Vidal"/>
    <s v="In Progress"/>
    <s v="Valentina.Salazar"/>
    <s v="65899 - Cloud"/>
    <m/>
  </r>
  <r>
    <s v="P2197"/>
    <x v="69"/>
    <x v="140"/>
    <s v="Evolución Datalake Fase 2 2025"/>
    <s v="Cloud"/>
    <s v="ICF"/>
    <x v="3"/>
    <s v="Instituto Colombiano Para La Evaluacion De La Educacion ICFES"/>
    <x v="1"/>
    <s v="Icfes"/>
    <s v="ICFES-555-2025"/>
    <x v="4"/>
    <s v="Ciliana Capera"/>
    <s v="Moises Rojas"/>
    <s v="Jairo Salas"/>
    <s v="In Progress"/>
    <s v="N. A."/>
    <m/>
    <m/>
  </r>
  <r>
    <s v="P2216"/>
    <x v="70"/>
    <x v="141"/>
    <s v="Fase 2 Datacali"/>
    <s v="Fixed"/>
    <s v="ACA"/>
    <x v="4"/>
    <s v="Alcaldia de Cali"/>
    <x v="1"/>
    <s v="Alcadia de Cali"/>
    <s v="No hay contrato"/>
    <x v="2"/>
    <s v="Karen Arandia"/>
    <s v="Carlos Sierra"/>
    <s v="Simon López"/>
    <s v="Complete"/>
    <m/>
    <m/>
    <m/>
  </r>
  <r>
    <s v="P2219"/>
    <x v="71"/>
    <x v="142"/>
    <s v="Agente Cognitivo y Soporte Migración"/>
    <s v="Fixed"/>
    <s v="ACA"/>
    <x v="4"/>
    <s v="Alcaldia de Cali"/>
    <x v="1"/>
    <s v="Alcadia de Cali"/>
    <s v="PO-148314_v1_20250627"/>
    <x v="2"/>
    <s v="Karen Arandia"/>
    <s v="Carlos Sierra"/>
    <s v="Simon López"/>
    <s v="Complete"/>
    <m/>
    <m/>
    <m/>
  </r>
  <r>
    <s v="P2220"/>
    <x v="71"/>
    <x v="143"/>
    <s v="Agente Cognitivo y Soporte Migración"/>
    <s v="Cloud"/>
    <s v="ACA"/>
    <x v="3"/>
    <s v="Alcaldia de Cali"/>
    <x v="1"/>
    <s v="Alcadia de Cali"/>
    <s v="PO-148314_v1_20250627"/>
    <x v="2"/>
    <s v="Karen Arandia"/>
    <s v="Nicolas Revollo"/>
    <s v="Juan Sanchéz"/>
    <s v="Complete"/>
    <m/>
    <m/>
    <m/>
  </r>
  <r>
    <s v="P2221"/>
    <x v="71"/>
    <x v="144"/>
    <s v="Agente Cognitivo y Soporte Migración"/>
    <s v="Ret"/>
    <s v="ACA"/>
    <x v="2"/>
    <s v="Alcaldia de Cali"/>
    <x v="1"/>
    <s v="Alcadia de Cali"/>
    <s v="PO-148314_v1_20250627"/>
    <x v="2"/>
    <s v="Karen Arandia"/>
    <s v="Nicolas Revollo"/>
    <s v="Juan Sanchéz"/>
    <s v="Complete"/>
    <m/>
    <m/>
    <m/>
  </r>
  <r>
    <s v="P2222"/>
    <x v="71"/>
    <x v="145"/>
    <s v="Agente Cognitivo y Soporte Migración"/>
    <s v="Ret Other Vendors"/>
    <s v="ACA"/>
    <x v="2"/>
    <s v="Alcaldia de Cali"/>
    <x v="1"/>
    <s v="Alcadia de Cali"/>
    <s v="PO-148314_v1_20250627"/>
    <x v="2"/>
    <s v="Karen Arandia"/>
    <s v="Carlos Sierra"/>
    <s v="Simon López"/>
    <s v="Complete"/>
    <m/>
    <m/>
    <m/>
  </r>
  <r>
    <s v="P2223"/>
    <x v="71"/>
    <x v="146"/>
    <s v="Agente Cognitivo y Soporte Migración"/>
    <s v="Ret SW"/>
    <s v="ACA"/>
    <x v="1"/>
    <s v="Alcaldia de Cali"/>
    <x v="1"/>
    <s v="Alcadia de Cali"/>
    <s v="PO-148314_v1_20250627"/>
    <x v="2"/>
    <s v="Karen Arandia"/>
    <s v="Carlos Sierra"/>
    <s v="Simon López"/>
    <s v="Complete"/>
    <m/>
    <m/>
    <m/>
  </r>
  <r>
    <s v="P2198"/>
    <x v="69"/>
    <x v="147"/>
    <s v="Evolución Datalake Fase 2 2025"/>
    <s v="Fixed"/>
    <s v="ICF"/>
    <x v="4"/>
    <s v="Instituto Colombiano Para La Evaluacion De La Educacion ICFES"/>
    <x v="1"/>
    <s v="Icfes"/>
    <s v="ICFES-555-2025"/>
    <x v="4"/>
    <s v="Ciliana Capera"/>
    <s v="Moises Rojas"/>
    <s v="Jairo Salas"/>
    <s v="In Progress"/>
    <s v="N. A."/>
    <m/>
    <m/>
  </r>
  <r>
    <s v="P2199"/>
    <x v="69"/>
    <x v="148"/>
    <s v="Evolución Datalake Fase 2 2025"/>
    <s v="Ret"/>
    <s v="ICF"/>
    <x v="2"/>
    <s v="Instituto Colombiano Para La Evaluacion De La Educacion ICFES"/>
    <x v="1"/>
    <s v="Icfes"/>
    <s v="ICFES-555-2025"/>
    <x v="4"/>
    <s v="Ciliana Capera"/>
    <s v="Moises Rojas"/>
    <s v="Jairo Salas"/>
    <s v="In Progress"/>
    <s v="N. A."/>
    <m/>
    <m/>
  </r>
  <r>
    <s v="P2200"/>
    <x v="69"/>
    <x v="149"/>
    <s v="Evolución Datalake Fase 2 2025"/>
    <s v="Ret SW"/>
    <s v="ICF"/>
    <x v="1"/>
    <s v="Instituto Colombiano Para La Evaluacion De La Educacion ICFES"/>
    <x v="1"/>
    <s v="Icfes"/>
    <s v="ICFES-555-2025"/>
    <x v="4"/>
    <s v="Ciliana Capera"/>
    <s v="Moises Rojas"/>
    <s v="Jairo Salas"/>
    <s v="In Progress"/>
    <s v="N. A."/>
    <m/>
    <m/>
  </r>
  <r>
    <s v="P2240"/>
    <x v="69"/>
    <x v="150"/>
    <s v="Evolución Datalake Fase 2 2025"/>
    <s v="Ret Other Vendors"/>
    <s v="ICF"/>
    <x v="2"/>
    <s v="Instituto Colombiano Para La Evaluacion De La Educacion ICFES"/>
    <x v="0"/>
    <s v="Icfes"/>
    <s v="ICFES-555-2025"/>
    <x v="4"/>
    <s v="Ciliana Capera"/>
    <s v="Moises Rojas"/>
    <s v="Jairo Salas"/>
    <s v="In Progress"/>
    <s v="N. A."/>
    <m/>
    <m/>
  </r>
  <r>
    <s v="P2201"/>
    <x v="72"/>
    <x v="151"/>
    <s v="Migración OCI 2025"/>
    <s v="Cloud"/>
    <s v="ICF"/>
    <x v="3"/>
    <s v="Instituto Colombiano Para La Evaluacion De La Educacion ICFES"/>
    <x v="1"/>
    <s v="Icfes"/>
    <s v="Project ISH2VI3P6I - MAP"/>
    <x v="4"/>
    <s v="Ciliana Capera"/>
    <s v="Nicolas Revollo"/>
    <s v="Juan Sanchéz"/>
    <s v="In Progress"/>
    <s v="N. A."/>
    <m/>
    <m/>
  </r>
  <r>
    <s v="P2202"/>
    <x v="72"/>
    <x v="152"/>
    <s v="Migración OCI 2025"/>
    <s v="Fixed"/>
    <s v="ICF"/>
    <x v="4"/>
    <s v="Instituto Colombiano Para La Evaluacion De La Educacion ICFES"/>
    <x v="1"/>
    <s v="Icfes"/>
    <s v="Project ISH2VI3P6I - MAP"/>
    <x v="4"/>
    <s v="Ciliana Capera"/>
    <s v="Nicolas Revollo"/>
    <s v="Juan Sanchéz"/>
    <s v="In Progress"/>
    <s v="N. A."/>
    <m/>
    <m/>
  </r>
  <r>
    <s v="P2214"/>
    <x v="73"/>
    <x v="153"/>
    <s v="SmartCash - Operación"/>
    <s v="Ret"/>
    <s v="PRO"/>
    <x v="2"/>
    <s v="Progresión"/>
    <x v="0"/>
    <s v="Progresión SCB"/>
    <s v="Contrato Progresion 2025 Vr. Procash."/>
    <x v="1"/>
    <s v="Daniela Muñoz"/>
    <s v="Carlos Sierra"/>
    <s v="Angel Villasmil"/>
    <s v="In Progress"/>
    <m/>
    <m/>
    <m/>
  </r>
  <r>
    <s v="P2215"/>
    <x v="73"/>
    <x v="154"/>
    <s v="SmartCash - Operación"/>
    <s v="Cloud"/>
    <s v="PRO"/>
    <x v="3"/>
    <s v="Progresión"/>
    <x v="0"/>
    <s v="Progresión SCB"/>
    <s v="Contrato Progresion 2025 Vr. Procash."/>
    <x v="1"/>
    <s v="Daniela Muñoz"/>
    <s v="Carlos Sierra"/>
    <s v="Angel Villasmil"/>
    <s v="In Progress"/>
    <m/>
    <m/>
    <m/>
  </r>
  <r>
    <s v="P2235"/>
    <x v="74"/>
    <x v="155"/>
    <s v="Digitalización archivo físico Fase II"/>
    <s v="Fixed"/>
    <s v="CSJ"/>
    <x v="4"/>
    <s v="Consejo Superior de la Judicatura"/>
    <x v="0"/>
    <s v="Consejo Superior de la Judicatura"/>
    <m/>
    <x v="3"/>
    <s v="Ciliana Capera"/>
    <s v="Moises Rojas"/>
    <s v="Gerson Pineda"/>
    <s v="In Progress"/>
    <m/>
    <m/>
    <m/>
  </r>
  <r>
    <s v="P2236"/>
    <x v="74"/>
    <x v="156"/>
    <s v="Digitalización archivo físico Fase II"/>
    <s v="Ret"/>
    <s v="CSJ"/>
    <x v="2"/>
    <s v="Consejo Superior de la Judicatura"/>
    <x v="0"/>
    <s v="Consejo Superior de la Judicatura"/>
    <m/>
    <x v="3"/>
    <s v="Ciliana Capera"/>
    <s v="Moises Rojas"/>
    <s v="Gerson Pineda"/>
    <s v="In Progress"/>
    <m/>
    <m/>
    <m/>
  </r>
  <r>
    <s v="P2237"/>
    <x v="74"/>
    <x v="157"/>
    <s v="Digitalización archivo físico Fase II"/>
    <s v="Cloud"/>
    <s v="CSJ"/>
    <x v="3"/>
    <s v="Consejo Superior de la Judicatura"/>
    <x v="0"/>
    <s v="Consejo Superior de la Judicatura"/>
    <m/>
    <x v="3"/>
    <s v="Ciliana Capera"/>
    <s v="Moises Rojas"/>
    <s v="Gerson Pineda"/>
    <s v="In Progress"/>
    <m/>
    <m/>
    <m/>
  </r>
  <r>
    <s v="P2293"/>
    <x v="75"/>
    <x v="158"/>
    <s v="Auditoría Médica Especializada"/>
    <s v="Fixed"/>
    <s v="ADR"/>
    <x v="4"/>
    <s v="La Administradora de los Recursos del Sistema General de Seguridad Social en Salud"/>
    <x v="1"/>
    <s v="ADR_ MVP Auditorías"/>
    <s v="NUVU - Proyectos - Documentos - Habilitadores - Todos los documentos"/>
    <x v="5"/>
    <s v="Ciliana Capera"/>
    <s v="Carlos Sierra"/>
    <m/>
    <s v="Complete"/>
    <s v="N.A"/>
    <n v="68998"/>
    <m/>
  </r>
  <r>
    <s v="P2294"/>
    <x v="75"/>
    <x v="159"/>
    <s v="Auditoría Médica Especializada"/>
    <s v="Cloud"/>
    <s v="ADR"/>
    <x v="3"/>
    <s v="La Administradora de los Recursos del Sistema General de Seguridad Social en Salud"/>
    <x v="1"/>
    <s v="ADR_ MVP Auditorías"/>
    <s v="NUVU - Proyectos - Documentos - Habilitadores - Todos los documentos"/>
    <x v="5"/>
    <s v="Ciliana Capera"/>
    <s v="Carlos Sierra"/>
    <m/>
    <s v="Complete"/>
    <s v="N.A"/>
    <n v="68999"/>
    <m/>
  </r>
  <r>
    <s v="P2238"/>
    <x v="74"/>
    <x v="160"/>
    <s v="Digitalización archivo físico Fase II"/>
    <s v="Ret SW"/>
    <s v="CSJ"/>
    <x v="1"/>
    <s v="Consejo Superior de la Judicatura"/>
    <x v="0"/>
    <s v="Consejo Superior de la Judicatura"/>
    <m/>
    <x v="3"/>
    <s v="Ciliana Capera"/>
    <s v="Moises Rojas"/>
    <s v="Gerson Pineda"/>
    <s v="In Progress"/>
    <m/>
    <m/>
    <m/>
  </r>
  <r>
    <s v="P2318"/>
    <x v="75"/>
    <x v="161"/>
    <s v="Auditoría Médica Especializada"/>
    <s v="Ret Other Vendors"/>
    <s v="ADR"/>
    <x v="2"/>
    <s v="La Administradora de los Recursos del Sistema General de Seguridad Social en Salud"/>
    <x v="1"/>
    <s v="ADR_ MVP Auditorías"/>
    <s v="NUVU - Proyectos - Documentos - Habilitadores - Todos los documentos"/>
    <x v="5"/>
    <s v="Ciliana Capera"/>
    <s v="Carlos Sierra"/>
    <m/>
    <s v="Complete"/>
    <s v="N.A"/>
    <n v="71118"/>
    <m/>
  </r>
  <r>
    <s v="P2345"/>
    <x v="76"/>
    <x v="162"/>
    <s v="Internal Project Delivery (Ad-Hoc)"/>
    <s v="Internal"/>
    <s v="BLD"/>
    <x v="0"/>
    <s v="Blend360"/>
    <x v="0"/>
    <s v="N.A."/>
    <s v="N.A."/>
    <x v="0"/>
    <s v="N.A."/>
    <s v="N.A."/>
    <s v="N.A."/>
    <s v="In Progress"/>
    <s v="N. A."/>
    <m/>
    <s v="No Aplica"/>
  </r>
  <r>
    <s v="P2351"/>
    <x v="70"/>
    <x v="163"/>
    <s v="Fase 2 Datacali"/>
    <s v="Cloud"/>
    <s v="ACA"/>
    <x v="3"/>
    <s v="Alcaldia de Cali"/>
    <x v="1"/>
    <s v="Alcadia de Cali"/>
    <s v="No hay contrato"/>
    <x v="2"/>
    <s v="Karen Arandia"/>
    <s v="Carlos Sierra"/>
    <s v="Simon López"/>
    <s v="Complete"/>
    <m/>
    <m/>
    <m/>
  </r>
  <r>
    <s v="P2239"/>
    <x v="74"/>
    <x v="164"/>
    <s v="Digitalización archivo físico Fase II"/>
    <s v="Ret Other Vendors"/>
    <s v="CSJ"/>
    <x v="2"/>
    <s v="Consejo Superior de la Judicatura"/>
    <x v="0"/>
    <s v="Consejo Superior de la Judicatura"/>
    <m/>
    <x v="3"/>
    <s v="Ciliana Capera"/>
    <s v="Moises Rojas"/>
    <s v="Gerson Pineda"/>
    <s v="In Progress"/>
    <m/>
    <m/>
    <m/>
  </r>
  <r>
    <s v="P02357"/>
    <x v="77"/>
    <x v="165"/>
    <s v="Transformación de la Historia Laboral y Recaudo"/>
    <s v="Fixed"/>
    <s v="ACP"/>
    <x v="4"/>
    <s v="Colpensiones"/>
    <x v="0"/>
    <s v="ACP_Historia Laboral"/>
    <s v="N.A."/>
    <x v="0"/>
    <s v="Ciliana Capera"/>
    <s v="Moises Rojas"/>
    <s v="Gerson Pineda"/>
    <s v="In Progress"/>
    <s v="N.A"/>
    <n v="74567"/>
    <m/>
  </r>
  <r>
    <s v="P02358"/>
    <x v="77"/>
    <x v="166"/>
    <s v="Transformación de la Historia Laboral y Recaudo"/>
    <s v="Ret"/>
    <s v="ACP"/>
    <x v="2"/>
    <s v="Colpensiones"/>
    <x v="0"/>
    <s v="ACP_Historia Laboral"/>
    <s v="N.A."/>
    <x v="0"/>
    <s v="Ciliana Capera"/>
    <s v="Moises Rojas"/>
    <s v="Gerson Pineda"/>
    <s v="In Progress"/>
    <s v="N.A"/>
    <n v="74568"/>
    <m/>
  </r>
  <r>
    <s v="P2243"/>
    <x v="78"/>
    <x v="167"/>
    <s v="Secretaría General"/>
    <s v="Fixed"/>
    <s v="UNA"/>
    <x v="4"/>
    <s v="Universidad Nacional de Colombia"/>
    <x v="0"/>
    <m/>
    <s v="NUVU - Proyectos - Documentos - 00. Administrativos - Todos los documentos"/>
    <x v="1"/>
    <s v="Alejandra Gómez"/>
    <s v="Nicolas Revollo"/>
    <s v="Juan Sanchéz"/>
    <s v="In Progress"/>
    <m/>
    <n v="68449"/>
    <m/>
  </r>
  <r>
    <s v="P2246"/>
    <x v="78"/>
    <x v="168"/>
    <s v="Secretaría General"/>
    <s v="Cloud"/>
    <s v="UNA"/>
    <x v="3"/>
    <s v="Universidad Nacional de Colombia"/>
    <x v="0"/>
    <m/>
    <s v="NUVU - Proyectos - Documentos - 00. Administrativos - Todos los documentos"/>
    <x v="1"/>
    <s v="Alejandra Gómez"/>
    <s v="Nicolas Revollo"/>
    <s v="Juan Sanchéz"/>
    <s v="In Progress"/>
    <m/>
    <n v="68452"/>
    <m/>
  </r>
  <r>
    <s v="P2392"/>
    <x v="79"/>
    <x v="57"/>
    <s v="Datalake Secretaria del Hábitat"/>
    <s v="Cloud"/>
    <s v="SDH"/>
    <x v="3"/>
    <s v="Secretaria Distrital del Hábitat"/>
    <x v="0"/>
    <s v="Secretaria Distrital del Hábitat"/>
    <s v="PO-151730_v1_20250912.pdf"/>
    <x v="3"/>
    <s v="Alejandra Gomez"/>
    <s v="Moises Rojas"/>
    <s v="Jairo Salas"/>
    <s v="In Progress"/>
    <s v="N. A."/>
    <s v="55172 - Ret SW_x000a_55173 - CLOUD_x000a_55174 - Ret"/>
    <s v="No Aplica"/>
  </r>
  <r>
    <s v="P2393"/>
    <x v="79"/>
    <x v="58"/>
    <s v="Datalake Secretaria del Hábitat"/>
    <s v="Ret"/>
    <s v="SDH"/>
    <x v="2"/>
    <s v="Secretaria Distrital del Hábitat"/>
    <x v="0"/>
    <s v="Secretaria Distrital del Hábitat"/>
    <s v="PO-151730_v1_20250912.pdf"/>
    <x v="3"/>
    <s v="Alejandra Gomez"/>
    <s v="Moises Rojas"/>
    <s v="Jairo Salas"/>
    <s v="In Progress"/>
    <s v="N. A."/>
    <s v="55172 - Ret SW_x000a_55173 - CLOUD_x000a_55174 - Ret"/>
    <s v="Operations_Team_01"/>
  </r>
  <r>
    <s v="P2394"/>
    <x v="79"/>
    <x v="56"/>
    <s v="Datalake Secretaria del Hábitat"/>
    <s v="Ret SW"/>
    <s v="SDH"/>
    <x v="1"/>
    <s v="Secretaria Distrital del Hábitat"/>
    <x v="0"/>
    <s v="Secretaria Distrital del Hábitat"/>
    <s v="PO-151730_v1_20250912.pdf"/>
    <x v="3"/>
    <s v="Alejandra Gomez"/>
    <s v="Moises Rojas"/>
    <s v="Jairo Salas"/>
    <s v="In Progress"/>
    <s v="N. A."/>
    <s v="55172 - Ret SW_x000a_55173 - CLOUD_x000a_55174 - Ret"/>
    <s v="No Aplica"/>
  </r>
  <r>
    <s v="P2397"/>
    <x v="80"/>
    <x v="169"/>
    <s v=" Virtualización infraestructura Cali "/>
    <s v="Cloud"/>
    <s v="ACA"/>
    <x v="3"/>
    <s v="Alcaldia de Cali"/>
    <x v="0"/>
    <s v="Alcadia de Cali"/>
    <s v="Documentos esenciales"/>
    <x v="2"/>
    <s v="Karen Arandia"/>
    <s v="Nicolas Revollo"/>
    <s v="Simon López"/>
    <s v="In Progress"/>
    <m/>
    <m/>
    <m/>
  </r>
  <r>
    <s v="P2398"/>
    <x v="80"/>
    <x v="170"/>
    <s v=" Virtualización infraestructura Cali "/>
    <s v="Ret"/>
    <s v="ACA"/>
    <x v="2"/>
    <s v="Alcaldia de Cali"/>
    <x v="0"/>
    <s v="Alcadia de Cali"/>
    <s v="Documentos esenciales"/>
    <x v="2"/>
    <s v="Karen Arandia"/>
    <s v="Nicolas Revollo"/>
    <s v="Simon López"/>
    <s v="In Progress"/>
    <m/>
    <m/>
    <m/>
  </r>
  <r>
    <s v="P2426"/>
    <x v="81"/>
    <x v="171"/>
    <s v="BLD - All-Start Program LATAM"/>
    <s v="Internal"/>
    <s v="BLD"/>
    <x v="0"/>
    <s v="Blend360"/>
    <x v="0"/>
    <s v="N.A."/>
    <s v="N.A."/>
    <x v="0"/>
    <s v="N.A."/>
    <s v="N.A."/>
    <s v="N.A."/>
    <s v="In Progress"/>
    <s v="N. A."/>
    <n v="5045"/>
    <s v="No Aplica"/>
  </r>
  <r>
    <s v="P2399"/>
    <x v="80"/>
    <x v="172"/>
    <s v=" Virtualización infraestructura Cali "/>
    <s v="Ret SW"/>
    <s v="ACA"/>
    <x v="1"/>
    <s v="Alcaldia de Cali"/>
    <x v="0"/>
    <s v="Alcadia de Cali"/>
    <s v="Documentos esenciales"/>
    <x v="2"/>
    <s v="Karen Arandia"/>
    <s v="Nicolas Revollo"/>
    <s v="Simon López"/>
    <s v="In Progress"/>
    <m/>
    <m/>
    <m/>
  </r>
  <r>
    <s v="P2400"/>
    <x v="80"/>
    <x v="173"/>
    <s v=" Virtualización infraestructura Cali "/>
    <s v="Ret Other Vendors"/>
    <s v="ACA"/>
    <x v="2"/>
    <s v="Alcaldia de Cali"/>
    <x v="0"/>
    <s v="Alcadia de Cali"/>
    <s v="Documentos esenciales"/>
    <x v="2"/>
    <s v="Karen Arandia"/>
    <s v="Nicolas Revollo"/>
    <s v="Simon López"/>
    <s v="In Progress"/>
    <m/>
    <m/>
    <m/>
  </r>
  <r>
    <s v="P2404"/>
    <x v="82"/>
    <x v="174"/>
    <s v="Fase III DataCali"/>
    <s v="Fixed"/>
    <s v="ACA"/>
    <x v="4"/>
    <s v="Alcaldia de Cali"/>
    <x v="0"/>
    <s v="Alcadia de Cali"/>
    <s v="Documentos escenciales"/>
    <x v="2"/>
    <s v="Karen Arandia"/>
    <s v="Carlos Sierra"/>
    <s v="Simon López"/>
    <s v="In Progress"/>
    <m/>
    <m/>
    <m/>
  </r>
  <r>
    <s v="P2405"/>
    <x v="82"/>
    <x v="175"/>
    <s v="Fase III DataCali"/>
    <s v="Ret Other Vendors"/>
    <s v="ACA"/>
    <x v="2"/>
    <s v="Alcaldia de Cali"/>
    <x v="0"/>
    <s v="Alcadia de Cali"/>
    <s v="Documentos escenciales"/>
    <x v="2"/>
    <s v="Karen Arandia"/>
    <s v="Carlos Sierra"/>
    <s v="Simon López"/>
    <s v="In Progress"/>
    <m/>
    <m/>
    <m/>
  </r>
  <r>
    <s v="P2432"/>
    <x v="75"/>
    <x v="176"/>
    <s v="Auditoría Médica Especializada"/>
    <s v="Ret SW"/>
    <s v="ADR"/>
    <x v="1"/>
    <s v="La Administradora de los Recursos del Sistema General de Seguridad Social en Salud"/>
    <x v="1"/>
    <m/>
    <s v="NUVU - Proyectos - Documentos - Habilitadores - Todos los documentos"/>
    <x v="5"/>
    <s v="Ciliana Capera"/>
    <s v="Carlos Sierra"/>
    <s v="Diego Saavedra"/>
    <s v="Complete"/>
    <m/>
    <m/>
    <m/>
  </r>
  <r>
    <s v="P2431"/>
    <x v="83"/>
    <x v="177"/>
    <s v="Automatización procesos seguros, adquisiciones y accidentes "/>
    <s v="Fixed"/>
    <s v="SED"/>
    <x v="4"/>
    <s v="Secretaría de Educación del Distrito"/>
    <x v="0"/>
    <s v="Secretaría de Educación del Distrito"/>
    <s v="https://wgcp.sharepoint.com/:f:/s/NUVU-Proyectos/EigIuz4hpPtBj5V2MDV5PfkBtehrrUqLaWUDWxC41UqE-A?e=zjWO8i"/>
    <x v="7"/>
    <s v="Karen Arandia"/>
    <s v="Moises Rojas"/>
    <s v="Jairo Salas"/>
    <s v="In Progress"/>
    <m/>
    <m/>
    <m/>
  </r>
  <r>
    <s v="P2561"/>
    <x v="83"/>
    <x v="178"/>
    <s v="Automatización procesos seguros, adquisiciones y accidentes "/>
    <s v="Ret"/>
    <s v="SED"/>
    <x v="1"/>
    <s v="Secretaría de Educación del Distrito"/>
    <x v="0"/>
    <s v="Secretaría de Educación del Distrito"/>
    <s v="https://wgcp.sharepoint.com/:f:/s/NUVU-Proyectos/EigIuz4hpPtBj5V2MDV5PfkBtehrrUqLaWUDWxC41UqE-A?e=zjWO8i"/>
    <x v="7"/>
    <s v="Karen Arandia"/>
    <s v="Moises Rojas"/>
    <s v="Jairo Salas"/>
    <s v="In Progress"/>
    <m/>
    <m/>
    <m/>
  </r>
  <r>
    <s v="P2562"/>
    <x v="83"/>
    <x v="179"/>
    <s v="Automatización procesos seguros, adquisiciones y accidentes "/>
    <s v="Ret SW"/>
    <s v="SED"/>
    <x v="1"/>
    <s v="Secretaría de Educación del Distrito"/>
    <x v="0"/>
    <s v="Secretaría de Educación del Distrito"/>
    <s v="https://wgcp.sharepoint.com/:f:/s/NUVU-Proyectos/EigIuz4hpPtBj5V2MDV5PfkBtehrrUqLaWUDWxC41UqE-A?e=zjWO8i"/>
    <x v="7"/>
    <s v="Karen Arandia"/>
    <s v="Moises Rojas"/>
    <s v="Jairo Salas"/>
    <s v="In Progress"/>
    <m/>
    <m/>
    <m/>
  </r>
  <r>
    <s v="P2563"/>
    <x v="83"/>
    <x v="180"/>
    <s v="Automatización procesos seguros, adquisiciones y accidentes "/>
    <s v="Cloud"/>
    <s v="SED"/>
    <x v="1"/>
    <s v="Secretaría de Educación del Distrito"/>
    <x v="0"/>
    <s v="Secretaría de Educación del Distrito"/>
    <s v="https://wgcp.sharepoint.com/:f:/s/NUVU-Proyectos/EigIuz4hpPtBj5V2MDV5PfkBtehrrUqLaWUDWxC41UqE-A?e=zjWO8i"/>
    <x v="7"/>
    <s v="Karen Arandia"/>
    <s v="Moises Rojas"/>
    <s v="Jairo Salas"/>
    <s v="In Progress"/>
    <m/>
    <m/>
    <m/>
  </r>
  <r>
    <s v="P2466"/>
    <x v="84"/>
    <x v="181"/>
    <s v="Assessment Migracion Nube AWS"/>
    <s v="Fixed"/>
    <s v="IGM"/>
    <x v="4"/>
    <s v="Instituto Geografico Militar"/>
    <x v="0"/>
    <s v="Instituto Geografico Militar"/>
    <m/>
    <x v="3"/>
    <s v="Marcela Sanchez"/>
    <s v="Nicolas Revollo"/>
    <s v="Cristhyan Gutierrez"/>
    <s v="In Progress"/>
    <m/>
    <m/>
    <m/>
  </r>
  <r>
    <s v="P2473"/>
    <x v="84"/>
    <x v="182"/>
    <s v="Assessment Migracion Nube AWS"/>
    <s v="Ret"/>
    <s v="IGM"/>
    <x v="2"/>
    <s v="Instituto Geografico Militar"/>
    <x v="0"/>
    <s v="Instituto Geografico Militar"/>
    <m/>
    <x v="3"/>
    <s v="Marcela Sanchez"/>
    <s v="Nicolas Revollo"/>
    <s v="Cristhyan Gutierrez"/>
    <s v="In Progress"/>
    <m/>
    <m/>
    <m/>
  </r>
  <r>
    <s v="P2474"/>
    <x v="84"/>
    <x v="183"/>
    <s v="Assessment Migracion Nube AWS"/>
    <s v="Cloud"/>
    <s v="IGM"/>
    <x v="3"/>
    <s v="Instituto Geografico Militar"/>
    <x v="0"/>
    <s v="Instituto Geografico Militar"/>
    <m/>
    <x v="3"/>
    <s v="Marcela Sanchez"/>
    <s v="Nicolas Revollo"/>
    <s v="Cristhyan Gutierrez"/>
    <s v="In Progress"/>
    <m/>
    <m/>
    <m/>
  </r>
  <r>
    <s v="P2475"/>
    <x v="84"/>
    <x v="184"/>
    <s v="Assessment Migracion Nube AWS"/>
    <s v="Ret SW"/>
    <s v="IGM"/>
    <x v="1"/>
    <s v="Instituto Geografico Militar"/>
    <x v="0"/>
    <s v="Instituto Geografico Militar"/>
    <m/>
    <x v="3"/>
    <s v="Marcela Sanchez"/>
    <s v="Nicolas Revollo"/>
    <s v="Cristhyan Gutierrez"/>
    <s v="In Progress"/>
    <m/>
    <m/>
    <m/>
  </r>
  <r>
    <s v="P2427"/>
    <x v="85"/>
    <x v="185"/>
    <s v="Egresados Cloud"/>
    <s v="Cloud"/>
    <s v="UNA"/>
    <x v="3"/>
    <s v="Universidad Nacional de Colombia"/>
    <x v="0"/>
    <m/>
    <m/>
    <x v="1"/>
    <s v="Alejandra Gómez"/>
    <s v="Nicolas Revollo"/>
    <s v="Juan Sanchéz"/>
    <s v="In Progress"/>
    <m/>
    <n v="81090"/>
    <m/>
  </r>
  <r>
    <s v="P2428"/>
    <x v="85"/>
    <x v="186"/>
    <s v="Egresados Cloud"/>
    <s v="Cloud"/>
    <s v="UNA"/>
    <x v="3"/>
    <s v="Universidad Nacional de Colombia"/>
    <x v="0"/>
    <m/>
    <m/>
    <x v="1"/>
    <s v="Alejandra Gómez"/>
    <s v="Nicolas Revollo"/>
    <s v="Juan Sanchéz"/>
    <s v="In Progress"/>
    <m/>
    <n v="81091"/>
    <m/>
  </r>
  <r>
    <s v="P2429"/>
    <x v="85"/>
    <x v="187"/>
    <s v="Egresados Cloud"/>
    <s v="Cloud"/>
    <s v="UNA"/>
    <x v="3"/>
    <s v="Universidad Nacional de Colombia"/>
    <x v="0"/>
    <m/>
    <m/>
    <x v="1"/>
    <s v="Alejandra Gómez"/>
    <s v="Nicolas Revollo"/>
    <s v="Juan Sanchéz"/>
    <s v="In Progress"/>
    <m/>
    <n v="81092"/>
    <m/>
  </r>
  <r>
    <s v="P2457"/>
    <x v="86"/>
    <x v="188"/>
    <s v="AI Auditoría Médica"/>
    <s v="Fixed"/>
    <s v="ADR"/>
    <x v="4"/>
    <s v="La Administradora de los Recursos del Sistema General de Seguridad Social en Salud"/>
    <x v="0"/>
    <m/>
    <s v="[P2457] - ADR - Sistema de Gestión de Auditorias"/>
    <x v="11"/>
    <s v="Ciliana Capera"/>
    <s v="Nicolas Revollo"/>
    <s v="Diego Saavedra"/>
    <s v="In Progress"/>
    <m/>
    <n v="2519"/>
    <m/>
  </r>
  <r>
    <s v="P2470"/>
    <x v="86"/>
    <x v="189"/>
    <s v="AI Auditoría Médica"/>
    <s v="Cloud"/>
    <s v="ADR"/>
    <x v="3"/>
    <s v="La Administradora de los Recursos del Sistema General de Seguridad Social en Salud"/>
    <x v="0"/>
    <m/>
    <s v="[P2457] - ADR - Sistema de Gestión de Auditorias"/>
    <x v="11"/>
    <m/>
    <s v="Nicolas Revollo"/>
    <s v="Gerson Pineda"/>
    <s v="In Progress"/>
    <m/>
    <m/>
    <m/>
  </r>
  <r>
    <s v="P2471"/>
    <x v="86"/>
    <x v="190"/>
    <s v="AI Auditoría Médica"/>
    <s v="Ret SW"/>
    <s v="ADR"/>
    <x v="1"/>
    <s v="La Administradora de los Recursos del Sistema General de Seguridad Social en Salud"/>
    <x v="0"/>
    <m/>
    <s v="[P2457] - ADR - Sistema de Gestión de Auditorias"/>
    <x v="11"/>
    <m/>
    <s v="Nicolas Revollo"/>
    <s v="Gerson Pineda"/>
    <s v="In Progress"/>
    <m/>
    <m/>
    <m/>
  </r>
  <r>
    <s v="P2472"/>
    <x v="86"/>
    <x v="191"/>
    <s v="AI Auditoría Médica"/>
    <s v="Ret Other Vendors"/>
    <s v="ADR"/>
    <x v="2"/>
    <s v="La Administradora de los Recursos del Sistema General de Seguridad Social en Salud"/>
    <x v="0"/>
    <m/>
    <m/>
    <x v="11"/>
    <m/>
    <s v="Nicolas Revollo"/>
    <s v="Gerson Pineda"/>
    <s v="In Progress"/>
    <m/>
    <m/>
    <m/>
  </r>
  <r>
    <s v="P2504"/>
    <x v="87"/>
    <x v="192"/>
    <s v="Contribución Solidaria y Cobro Coactivo"/>
    <s v="Fixed"/>
    <s v="ADR"/>
    <x v="4"/>
    <s v="La Administradora de los Recursos del Sistema General de Seguridad Social en Salud"/>
    <x v="0"/>
    <s v="02. Alcance del Proyecto"/>
    <s v="[P2504] - ADRES - Contribución Solidaria y Cobro Coactivo"/>
    <x v="5"/>
    <s v="Ciliana Capera"/>
    <s v="Carlos Sierra"/>
    <s v="Fernando Gaitan"/>
    <s v="In Progress"/>
    <m/>
    <n v="87351"/>
    <m/>
  </r>
  <r>
    <s v="P2505"/>
    <x v="87"/>
    <x v="193"/>
    <s v="Contribución Solidaria y Cobro Coactivo"/>
    <s v="Cloud"/>
    <s v="ADR"/>
    <x v="3"/>
    <s v="La Administradora de los Recursos del Sistema General de Seguridad Social en Salud"/>
    <x v="0"/>
    <s v="02. Alcance del Proyecto"/>
    <s v="[P2504] - ADRES - Contribución Solidaria y Cobro Coactivo"/>
    <x v="5"/>
    <s v="Ciliana Capera"/>
    <s v="Carlos Sierra"/>
    <s v="Fernando Gaitan"/>
    <s v="In Progress"/>
    <m/>
    <n v="87451"/>
    <m/>
  </r>
  <r>
    <s v="P2506"/>
    <x v="87"/>
    <x v="194"/>
    <s v="Contribución Solidaria y Cobro Coactivo"/>
    <s v="Ret"/>
    <s v="ADR"/>
    <x v="2"/>
    <s v="La Administradora de los Recursos del Sistema General de Seguridad Social en Salud"/>
    <x v="0"/>
    <s v="02. Alcance del Proyecto"/>
    <s v="[P2504] - ADRES - Contribución Solidaria y Cobro Coactivo"/>
    <x v="5"/>
    <s v="Ciliana Capera"/>
    <s v="Carlos Sierra"/>
    <s v="Fernando Gaitan"/>
    <s v="In Progress"/>
    <m/>
    <n v="87452"/>
    <m/>
  </r>
  <r>
    <s v="P2507"/>
    <x v="87"/>
    <x v="195"/>
    <s v="Contribución Solidaria y Cobro Coactivo"/>
    <s v="Ret Other Vendors"/>
    <s v="ADR"/>
    <x v="2"/>
    <s v="La Administradora de los Recursos del Sistema General de Seguridad Social en Salud"/>
    <x v="0"/>
    <s v="02. Alcance del Proyecto"/>
    <s v="[P2504] - ADRES - Contribución Solidaria y Cobro Coactivo"/>
    <x v="5"/>
    <s v="Ciliana Capera"/>
    <s v="Carlos Sierra"/>
    <s v="Fernando Gaitan"/>
    <s v="In Progress"/>
    <m/>
    <n v="87454"/>
    <m/>
  </r>
  <r>
    <s v="P2508"/>
    <x v="87"/>
    <x v="196"/>
    <s v="Contribución Solidaria y Cobro Coactivo"/>
    <s v="Ret SW"/>
    <s v="ADR"/>
    <x v="1"/>
    <s v="La Administradora de los Recursos del Sistema General de Seguridad Social en Salud"/>
    <x v="0"/>
    <s v="02. Alcance del Proyecto"/>
    <s v="[P2504] - ADRES - Contribución Solidaria y Cobro Coactivo"/>
    <x v="5"/>
    <s v="Ciliana Capera"/>
    <s v="Carlos Sierra"/>
    <s v="Fernando Gaitan"/>
    <s v="In Progress"/>
    <m/>
    <n v="87453"/>
    <m/>
  </r>
  <r>
    <s v="P2541"/>
    <x v="88"/>
    <x v="197"/>
    <s v="Hacienda a un Click"/>
    <s v="Fixed"/>
    <s v="ACA"/>
    <x v="4"/>
    <s v="Alcaldia de Cali"/>
    <x v="0"/>
    <s v="Alcadia de Cali"/>
    <s v="[P2604] ACA - Hacienda a un Click"/>
    <x v="2"/>
    <s v="Karen Arandia"/>
    <s v="Juan Zambrano"/>
    <s v="Simon López"/>
    <s v="In Progress"/>
    <m/>
    <m/>
    <m/>
  </r>
  <r>
    <s v="P2542"/>
    <x v="88"/>
    <x v="198"/>
    <s v="Hacienda a un Click"/>
    <s v="Ret"/>
    <s v="ACA"/>
    <x v="2"/>
    <s v="Alcaldia de Cali"/>
    <x v="0"/>
    <s v="Alcadia de Cali"/>
    <s v="[P2604] ACA - Hacienda a un Click"/>
    <x v="2"/>
    <s v="Karen Arandia"/>
    <s v="Juan Zambrano"/>
    <s v="Simon López"/>
    <s v="In Progress"/>
    <m/>
    <m/>
    <m/>
  </r>
  <r>
    <s v="P2543"/>
    <x v="88"/>
    <x v="199"/>
    <s v="Hacienda a un Click"/>
    <s v="Ret SW"/>
    <s v="ACA"/>
    <x v="1"/>
    <s v="Alcaldia de Cali"/>
    <x v="0"/>
    <s v="Alcadia de Cali"/>
    <s v="[P2604] ACA - Hacienda a un Click"/>
    <x v="2"/>
    <s v="Karen Arandia"/>
    <s v="Juan Zambrano"/>
    <s v="Simon López"/>
    <s v="In Progress"/>
    <m/>
    <m/>
    <m/>
  </r>
  <r>
    <s v="P2544"/>
    <x v="88"/>
    <x v="200"/>
    <s v="Hacienda a un Click"/>
    <s v="Ret Other Vendors"/>
    <s v="ACA"/>
    <x v="2"/>
    <s v="Alcaldia de Cali"/>
    <x v="0"/>
    <s v="Alcadia de Cali"/>
    <s v="[P2604] ACA - Hacienda a un Click"/>
    <x v="2"/>
    <s v="Karen Arandia"/>
    <s v="Juan Zambrano"/>
    <s v="Simon López"/>
    <s v="In Progress"/>
    <m/>
    <m/>
    <m/>
  </r>
  <r>
    <s v="P2532"/>
    <x v="89"/>
    <x v="201"/>
    <s v="Banco Items"/>
    <s v="Fixed"/>
    <s v="ICF"/>
    <x v="4"/>
    <s v="ICFES"/>
    <x v="1"/>
    <m/>
    <s v="Icfes - Banco de Items"/>
    <x v="4"/>
    <s v="Ciliana Capera"/>
    <s v="Nicolas Revollo"/>
    <s v="Juan Sanchéz"/>
    <s v="In Progress"/>
    <m/>
    <n v="2595"/>
    <m/>
  </r>
  <r>
    <s v="P2533"/>
    <x v="89"/>
    <x v="201"/>
    <s v="Banco Items"/>
    <s v="Ret"/>
    <s v="ICF"/>
    <x v="2"/>
    <s v="ICFES"/>
    <x v="1"/>
    <m/>
    <s v="Icfes - Banco de Items"/>
    <x v="4"/>
    <s v="Ciliana Capera"/>
    <s v="Nicolas Revollo"/>
    <s v="Juan Sanchéz"/>
    <s v="In Progress"/>
    <m/>
    <n v="2596"/>
    <m/>
  </r>
  <r>
    <s v="P2534"/>
    <x v="89"/>
    <x v="201"/>
    <s v="Banco Items"/>
    <s v="Ret Other Vendors"/>
    <s v="ICF"/>
    <x v="2"/>
    <s v="ICFES"/>
    <x v="1"/>
    <m/>
    <s v="Icfes - Banco de Items"/>
    <x v="4"/>
    <s v="Ciliana Capera"/>
    <s v="Nicolas Revollo"/>
    <s v="Juan Sanchéz"/>
    <s v="In Progress"/>
    <m/>
    <n v="2597"/>
    <m/>
  </r>
  <r>
    <s v="P2535"/>
    <x v="89"/>
    <x v="201"/>
    <s v="Banco Items"/>
    <s v="Cloud"/>
    <s v="ICF"/>
    <x v="3"/>
    <s v="ICFES"/>
    <x v="1"/>
    <m/>
    <s v="Icfes - Banco de Items"/>
    <x v="4"/>
    <s v="Ciliana Capera"/>
    <s v="Nicolas Revollo"/>
    <s v="Juan Sanchéz"/>
    <s v="In Progress"/>
    <m/>
    <n v="2598"/>
    <m/>
  </r>
  <r>
    <s v="P2557"/>
    <x v="90"/>
    <x v="202"/>
    <s v="Operacion en AWS"/>
    <s v="Ret"/>
    <s v="ICF"/>
    <x v="2"/>
    <s v="ICFES"/>
    <x v="0"/>
    <m/>
    <s v="Operacion e infraestructura AWS"/>
    <x v="4"/>
    <s v="Ciliana Capera"/>
    <s v="Nicolas Revollo"/>
    <s v="Juan Sanchéz"/>
    <s v="In Progress"/>
    <m/>
    <n v="2620"/>
    <m/>
  </r>
  <r>
    <s v="P2558"/>
    <x v="90"/>
    <x v="202"/>
    <s v="Operacion en AWS"/>
    <s v="Cloud"/>
    <s v="ICF"/>
    <x v="3"/>
    <s v="ICFES"/>
    <x v="0"/>
    <m/>
    <s v="Operacion e infraestructura AWS"/>
    <x v="4"/>
    <s v="Ciliana Capera"/>
    <s v="Nicolas Revollo"/>
    <s v="Juan Sanchéz"/>
    <s v="In Progress"/>
    <m/>
    <n v="2621"/>
    <m/>
  </r>
  <r>
    <s v="P2559"/>
    <x v="90"/>
    <x v="202"/>
    <s v="Operacion en AWS"/>
    <s v="Ret Other Vendors"/>
    <s v="ICF"/>
    <x v="2"/>
    <s v="ICFES"/>
    <x v="0"/>
    <m/>
    <s v="Operacion e infraestructura AWS"/>
    <x v="4"/>
    <s v="Ciliana Capera"/>
    <s v="Nicolas Revollo"/>
    <s v="Juan Sanchéz"/>
    <s v="In Progress"/>
    <m/>
    <n v="2622"/>
    <m/>
  </r>
  <r>
    <s v="P2577"/>
    <x v="91"/>
    <x v="203"/>
    <s v="Datalake"/>
    <s v="Cloud"/>
    <s v="ICF"/>
    <x v="3"/>
    <s v="ICFES"/>
    <x v="1"/>
    <m/>
    <s v="Operacion Datalake"/>
    <x v="4"/>
    <s v="Ciliana Capera"/>
    <s v="Moises Rojas"/>
    <s v="Jairo Salas"/>
    <s v="In Progress"/>
    <m/>
    <n v="2640"/>
    <m/>
  </r>
  <r>
    <s v="P2578"/>
    <x v="91"/>
    <x v="203"/>
    <s v="Datalake"/>
    <s v="Fixed"/>
    <s v="ICF"/>
    <x v="4"/>
    <s v="ICFES"/>
    <x v="1"/>
    <m/>
    <s v="Operacion Datalake"/>
    <x v="4"/>
    <s v="Ciliana Capera"/>
    <s v="Moises Rojas"/>
    <s v="Jairo Salas"/>
    <s v="In Progress"/>
    <m/>
    <n v="2641"/>
    <m/>
  </r>
  <r>
    <s v="P2579"/>
    <x v="91"/>
    <x v="203"/>
    <s v="Datalake"/>
    <s v="Ret"/>
    <s v="ICF"/>
    <x v="2"/>
    <s v="ICFES"/>
    <x v="1"/>
    <m/>
    <s v="Operacion Datalake"/>
    <x v="4"/>
    <s v="Ciliana Capera"/>
    <s v="Moises Rojas"/>
    <s v="Jairo Salas"/>
    <s v="In Progress"/>
    <m/>
    <n v="2642"/>
    <m/>
  </r>
  <r>
    <s v="P2580"/>
    <x v="91"/>
    <x v="203"/>
    <s v="Datalake"/>
    <s v="Ret Other Vendors"/>
    <s v="ICF"/>
    <x v="2"/>
    <s v="ICFES"/>
    <x v="1"/>
    <m/>
    <s v="Operacion Datalake"/>
    <x v="4"/>
    <s v="Ciliana Capera"/>
    <s v="Moises Rojas"/>
    <s v="Jairo Salas"/>
    <s v="In Progress"/>
    <m/>
    <n v="2643"/>
    <m/>
  </r>
  <r>
    <s v="P2583"/>
    <x v="91"/>
    <x v="203"/>
    <s v="Datalake"/>
    <s v="Ret SW"/>
    <s v="ICF"/>
    <x v="1"/>
    <s v="ICFES"/>
    <x v="1"/>
    <m/>
    <s v="Operacion Datalake"/>
    <x v="4"/>
    <s v="Ciliana Capera"/>
    <s v="Moises Rojas"/>
    <s v="Jairo Salas"/>
    <s v="In Progress"/>
    <m/>
    <n v="2646"/>
    <m/>
  </r>
  <r>
    <s v="P2575"/>
    <x v="92"/>
    <x v="204"/>
    <s v="Servicios Profesionales"/>
    <s v="Fixed"/>
    <s v="UDS"/>
    <x v="4"/>
    <s v="Universidad de la Sabana"/>
    <x v="0"/>
    <s v="PEDIDO 119697 HIGH TECH SAS.pdf"/>
    <s v="01. Documentación esencial"/>
    <x v="6"/>
    <s v="Alejandra Gómez"/>
    <s v="Juan Zambrano"/>
    <s v="Christian Lopez"/>
    <s v="In Progress"/>
    <m/>
    <n v="2638"/>
    <m/>
  </r>
  <r>
    <s v="P2569"/>
    <x v="93"/>
    <x v="205"/>
    <s v="Fortinet 2"/>
    <s v="Cloud"/>
    <s v="UNA"/>
    <x v="3"/>
    <s v="Universidad Nacional de Colombia"/>
    <x v="0"/>
    <m/>
    <m/>
    <x v="1"/>
    <s v="Alejandra Gómez"/>
    <s v="Nicolas Revollo"/>
    <s v="Juan Sanchéz"/>
    <s v="In Progress"/>
    <m/>
    <n v="2632"/>
    <m/>
  </r>
  <r>
    <s v="P2570"/>
    <x v="93"/>
    <x v="206"/>
    <s v="Fortinet 2"/>
    <s v="Ret"/>
    <s v="UNA"/>
    <x v="2"/>
    <s v="Universidad Nacional de Colombia"/>
    <x v="0"/>
    <s v="NUVU - Proyectos - Documentos - 01. Documentación Esencial - Todos los documentos"/>
    <s v="NUVU - Proyectos - Documentos - [P0387] CO- Universidad Nacional - Fortinet - Todos los documentos"/>
    <x v="1"/>
    <s v="Alejandra Gómez"/>
    <s v="Nicolas Revollo"/>
    <s v="Juan Sanchéz"/>
    <s v="In Progress"/>
    <m/>
    <n v="2634"/>
    <m/>
  </r>
  <r>
    <s v="P2571"/>
    <x v="93"/>
    <x v="207"/>
    <s v="Fortinet 2"/>
    <s v="Ret Other Vendors"/>
    <s v="UNA"/>
    <x v="2"/>
    <s v="Universidad Nacional de Colombia"/>
    <x v="0"/>
    <m/>
    <m/>
    <x v="1"/>
    <s v="Alejandra Gómez"/>
    <s v="Nicolas Revollo"/>
    <s v="Juan Sanchéz"/>
    <s v="In Progress"/>
    <m/>
    <n v="2635"/>
    <m/>
  </r>
  <r>
    <s v="P2572"/>
    <x v="93"/>
    <x v="208"/>
    <s v="Fortinet 2"/>
    <s v="Fixed"/>
    <s v="UNA"/>
    <x v="4"/>
    <s v="Universidad Nacional de Colombia"/>
    <x v="0"/>
    <m/>
    <m/>
    <x v="1"/>
    <s v="Alejandra Gómez"/>
    <s v="Nicolas Revollo"/>
    <s v="Juan Sanchéz"/>
    <s v="In Progress"/>
    <m/>
    <n v="2633"/>
    <m/>
  </r>
  <r>
    <s v="P2592"/>
    <x v="94"/>
    <x v="209"/>
    <s v="Analítica de Datos"/>
    <s v="Cloud"/>
    <s v="MMN"/>
    <x v="3"/>
    <s v="Empresa De Transporte Masivo Del Valle De Aburrá Limitada"/>
    <x v="0"/>
    <s v="NUVU - Proyectos - 01. Documentación Esencial - Todos los documentos"/>
    <s v="NUVU - Proyectos - Documentos - [P0388] Servicio de Diseño e Implementación de Inteligencia de Negocios y Analítica - Todos los documentos"/>
    <x v="3"/>
    <s v="Daniela Muñoz"/>
    <s v="Carlos Sierra"/>
    <m/>
    <s v="In Progress"/>
    <m/>
    <n v="2655"/>
    <m/>
  </r>
  <r>
    <s v="P2593"/>
    <x v="94"/>
    <x v="210"/>
    <s v="Analítica de Datos"/>
    <s v="Fixed"/>
    <s v="MMN"/>
    <x v="4"/>
    <s v="Empresa De Transporte Masivo Del Valle De Aburrá Limitada"/>
    <x v="0"/>
    <s v="NUVU - Proyectos - 01. Documentación Esencial - Todos los documentos"/>
    <s v="NUVU - Proyectos - Documentos - [P0388] Servicio de Diseño e Implementación de Inteligencia de Negocios y Analítica - Todos los documentos"/>
    <x v="3"/>
    <s v="Daniela Muñoz"/>
    <s v="Carlos Sierra"/>
    <m/>
    <s v="In Progress"/>
    <m/>
    <n v="2656"/>
    <m/>
  </r>
  <r>
    <s v="P2594"/>
    <x v="94"/>
    <x v="211"/>
    <s v="Analítica de Datos"/>
    <s v="Ret"/>
    <s v="MMN"/>
    <x v="2"/>
    <s v="Empresa De Transporte Masivo Del Valle De Aburrá Limitada"/>
    <x v="0"/>
    <s v="NUVU - Proyectos - 01. Documentación Esencial - Todos los documentos"/>
    <s v="NUVU - Proyectos - Documentos - [P0388] Servicio de Diseño e Implementación de Inteligencia de Negocios y Analítica - Todos los documentos"/>
    <x v="3"/>
    <s v="Daniela Muñoz"/>
    <s v="Carlos Sierra"/>
    <m/>
    <s v="In Progress"/>
    <m/>
    <n v="2657"/>
    <m/>
  </r>
  <r>
    <s v="P2615"/>
    <x v="95"/>
    <x v="212"/>
    <s v="CJU - Localizados"/>
    <s v="Cloud"/>
    <s v="CJU"/>
    <x v="3"/>
    <s v="Coljuegos"/>
    <x v="0"/>
    <s v="Juegos Localizados"/>
    <s v="[P0389] CJU - Localizados Renovacion"/>
    <x v="4"/>
    <s v="Karen Arandia"/>
    <s v="Moises Rojas"/>
    <s v="Brandon Ardila"/>
    <s v="In Progress"/>
    <m/>
    <n v="2678"/>
    <m/>
  </r>
  <r>
    <s v="P2616"/>
    <x v="95"/>
    <x v="213"/>
    <s v="CJU - Localizados"/>
    <s v="Fixed"/>
    <s v="CJU"/>
    <x v="4"/>
    <s v="Coljuegos"/>
    <x v="0"/>
    <s v="Juegos Localizados"/>
    <s v="[P0389] CJU - Localizados Renovacion"/>
    <x v="4"/>
    <s v="Karen Arandia"/>
    <s v="Moises Rojas"/>
    <s v="Brandon Ardila"/>
    <s v="In Progress"/>
    <m/>
    <n v="2679"/>
    <m/>
  </r>
  <r>
    <s v="P2617"/>
    <x v="95"/>
    <x v="214"/>
    <s v="CJU - Localizados"/>
    <s v="Ret"/>
    <s v="CJU"/>
    <x v="2"/>
    <s v="Coljuegos"/>
    <x v="0"/>
    <s v="Juegos Localizados"/>
    <s v="[P0389] CJU - Localizados Renovacion"/>
    <x v="4"/>
    <s v="Karen Arandia"/>
    <s v="Moises Rojas"/>
    <s v="Brandon Ardila"/>
    <s v="In Progress"/>
    <m/>
    <n v="2680"/>
    <m/>
  </r>
  <r>
    <s v="P2618"/>
    <x v="95"/>
    <x v="215"/>
    <s v="CJU - Localizados"/>
    <s v="Ret SW"/>
    <s v="CJU"/>
    <x v="1"/>
    <s v="Coljuegos"/>
    <x v="0"/>
    <s v="Juegos Localizados"/>
    <s v="[P0389] CJU - Localizados Renovacion"/>
    <x v="4"/>
    <s v="Karen Arandia"/>
    <s v="Moises Rojas"/>
    <s v="Brandon Ardila"/>
    <s v="In Progress"/>
    <m/>
    <n v="2681"/>
    <m/>
  </r>
  <r>
    <s v="P2619"/>
    <x v="96"/>
    <x v="216"/>
    <s v="CJU - STecnica"/>
    <s v="Cloud"/>
    <s v="CJU"/>
    <x v="3"/>
    <s v="Coljuegos"/>
    <x v="0"/>
    <s v="Secretaría Tecnica"/>
    <s v="[P0390] CJU - STecnica Renovacion"/>
    <x v="4"/>
    <s v="Karen Arandia"/>
    <s v="Moises Rojas"/>
    <s v="Brandon Ardila"/>
    <s v="In Progress"/>
    <m/>
    <n v="2619"/>
    <m/>
  </r>
  <r>
    <s v="P2620"/>
    <x v="96"/>
    <x v="217"/>
    <s v="CJU - STecnica"/>
    <s v="Fixed"/>
    <s v="CJU"/>
    <x v="4"/>
    <s v="Coljuegos"/>
    <x v="0"/>
    <s v="Secretaría Tecnica"/>
    <s v="[P0390] CJU - STecnica Renovacion"/>
    <x v="4"/>
    <s v="Karen Arandia"/>
    <s v="Moises Rojas"/>
    <s v="Brandon Ardila"/>
    <s v="In Progress"/>
    <m/>
    <n v="2620"/>
    <m/>
  </r>
  <r>
    <s v="P2621"/>
    <x v="96"/>
    <x v="218"/>
    <s v="CJU - STecnica"/>
    <s v="Ret"/>
    <s v="CJU"/>
    <x v="2"/>
    <s v="Coljuegos"/>
    <x v="0"/>
    <s v="Secretaría Tecnica"/>
    <s v="[P0390] CJU - STecnica Renovacion"/>
    <x v="4"/>
    <s v="Karen Arandia"/>
    <s v="Moises Rojas"/>
    <s v="Brandon Ardila"/>
    <s v="In Progress"/>
    <m/>
    <n v="2621"/>
    <m/>
  </r>
  <r>
    <s v="P2622"/>
    <x v="96"/>
    <x v="219"/>
    <s v="CJU - STecnica"/>
    <s v="Ret SW"/>
    <s v="CJU"/>
    <x v="1"/>
    <s v="Coljuegos"/>
    <x v="0"/>
    <s v="Secretaría Tecnica"/>
    <s v="[P0390] CJU - STecnica Renovacion"/>
    <x v="4"/>
    <s v="Karen Arandia"/>
    <s v="Moises Rojas"/>
    <s v="Brandon Ardila"/>
    <s v="In Progress"/>
    <m/>
    <n v="2622"/>
    <m/>
  </r>
  <r>
    <s v="P2630"/>
    <x v="97"/>
    <x v="220"/>
    <s v="SOC-Renewal"/>
    <s v="Cloud"/>
    <s v="SOC"/>
    <x v="3"/>
    <s v="Supersociedades"/>
    <x v="0"/>
    <s v="OC158153"/>
    <s v="03 Documentos Contractuales y tecnicos"/>
    <x v="6"/>
    <s v="Marcela Sanchez"/>
    <s v="Juan Zambrano"/>
    <m/>
    <s v="In Progress"/>
    <s v="Johann Soto"/>
    <n v="2693"/>
    <m/>
  </r>
  <r>
    <s v="P2631"/>
    <x v="97"/>
    <x v="220"/>
    <s v="SOC-Renewal"/>
    <s v="Fixed"/>
    <s v="SOC"/>
    <x v="4"/>
    <s v="Supersociedades"/>
    <x v="0"/>
    <s v="OC158153"/>
    <s v="03 Documentos Contractuales y tecnicos"/>
    <x v="6"/>
    <s v="Marcela Sanchez"/>
    <s v="Juan Zambrano"/>
    <s v="Ariane Hernandez"/>
    <s v="In Progress"/>
    <s v="Johann Soto"/>
    <n v="2694"/>
    <m/>
  </r>
  <r>
    <s v="P2632"/>
    <x v="97"/>
    <x v="220"/>
    <s v="SOC-Renewal"/>
    <s v="Ret"/>
    <s v="SOC"/>
    <x v="2"/>
    <s v="Supersociedades"/>
    <x v="0"/>
    <s v="OC158153"/>
    <s v="03 Documentos Contractuales y tecnicos"/>
    <x v="6"/>
    <s v="Marcela Sanchez"/>
    <s v="Juan Zambrano"/>
    <s v="Ariane Hernandez"/>
    <s v="In Progress"/>
    <s v="Johann Soto"/>
    <n v="2695"/>
    <m/>
  </r>
  <r>
    <s v="P2639"/>
    <x v="98"/>
    <x v="221"/>
    <s v="Quicksight Operación 2026"/>
    <s v="Cloud"/>
    <s v="AGR"/>
    <x v="3"/>
    <s v="Fiduagraria"/>
    <x v="0"/>
    <s v="Fiduagraria - Quicksight "/>
    <s v="OTROSI 4 CTO 037-2021. HIGH TECH."/>
    <x v="1"/>
    <s v="Alejandra Gomez"/>
    <s v="Juan Zambrano"/>
    <s v="Angel Villasmil"/>
    <s v="In Progress"/>
    <s v="N. A."/>
    <n v="2702"/>
    <s v="No Aplica"/>
  </r>
  <r>
    <s v="P2635"/>
    <x v="99"/>
    <x v="222"/>
    <s v="CP Suite ( Smartcash) Operación 2026"/>
    <s v="Fixed"/>
    <s v="AGR"/>
    <x v="4"/>
    <s v="Fiduagraria"/>
    <x v="0"/>
    <s v="Fiduagraria- CP Suite"/>
    <s v="OTROSI 4 CTO 032-2021. HIGH TECH"/>
    <x v="1"/>
    <s v="Alejandra Gomez"/>
    <s v="Juan Zambrano"/>
    <s v="Angel Villasmil"/>
    <s v="In Progress"/>
    <s v="Miguel.Carrillo"/>
    <n v="2698"/>
    <s v="Operations_Team_01"/>
  </r>
  <r>
    <s v="P2636"/>
    <x v="99"/>
    <x v="223"/>
    <s v="CP Suite ( Smartcash) Operación 2026"/>
    <s v="Ret"/>
    <s v="AGR"/>
    <x v="2"/>
    <s v="Fiduagraria"/>
    <x v="0"/>
    <s v="Fiduagraria- CP Suite"/>
    <s v="OTROSI 4 CTO 032-2021. HIGH TECH"/>
    <x v="1"/>
    <s v="Alejandra Gomez"/>
    <s v="Juan Zambrano"/>
    <s v="Angel Villasmil"/>
    <s v="In Progress"/>
    <s v="Miguel.Carrillo"/>
    <n v="2699"/>
    <s v="Operations_Team_01"/>
  </r>
  <r>
    <s v="P2637"/>
    <x v="99"/>
    <x v="224"/>
    <s v="CP Suite ( Smartcash) Operación 2026"/>
    <s v="Cloud"/>
    <s v="AGR"/>
    <x v="3"/>
    <s v="Fiduagraria"/>
    <x v="0"/>
    <s v="Fiduagraria- CP Suite"/>
    <s v="OTROSI 4 CTO 032-2021. HIGH TECH"/>
    <x v="1"/>
    <s v="Alejandra Gomez"/>
    <s v="Juan Zambrano"/>
    <s v="Angel Villasmil"/>
    <s v="In Progress"/>
    <s v="Miguel.Carrillo"/>
    <n v="2700"/>
    <s v="Operations_Team_01"/>
  </r>
  <r>
    <s v="P2638"/>
    <x v="99"/>
    <x v="225"/>
    <s v="CP Suite ( Smartcash) Operación 2026"/>
    <s v="Ret SW"/>
    <s v="AGR"/>
    <x v="1"/>
    <s v="Fiduagraria"/>
    <x v="0"/>
    <s v="Fiduagraria- CP Suite"/>
    <s v="OTROSI 4 CTO 032-2021. HIGH TECH"/>
    <x v="1"/>
    <s v="Alejandra Gomez"/>
    <s v="Juan Zambrano"/>
    <s v="Angel Villasmil"/>
    <s v="In Progress"/>
    <s v="Miguel.Carrillo"/>
    <n v="2701"/>
    <s v="Operations_Team_01"/>
  </r>
  <r>
    <s v="P2611"/>
    <x v="100"/>
    <x v="226"/>
    <s v="Operacion en AWS"/>
    <s v="Fixed"/>
    <s v="MEN"/>
    <x v="4"/>
    <s v="Ministerio de educación Nacional"/>
    <x v="0"/>
    <s v="Ministerio de educación Nacional"/>
    <m/>
    <x v="7"/>
    <s v="Alejandra Gomez"/>
    <s v="Juan Zambrano"/>
    <s v="Angel Villasmil"/>
    <s v="In Progress"/>
    <m/>
    <m/>
    <m/>
  </r>
  <r>
    <s v="P2612"/>
    <x v="100"/>
    <x v="227"/>
    <s v="Operacion en AWS"/>
    <s v="Ret"/>
    <s v="MEN"/>
    <x v="2"/>
    <s v="Ministerio de educación Nacional"/>
    <x v="0"/>
    <s v="Ministerio de educación Nacional"/>
    <m/>
    <x v="7"/>
    <s v="Alejandra Gomez"/>
    <s v="Juan Zambrano"/>
    <s v="Angel Villasmil"/>
    <s v="In Progress"/>
    <m/>
    <m/>
    <m/>
  </r>
  <r>
    <s v="P2634"/>
    <x v="100"/>
    <x v="228"/>
    <s v="Operacion en AWS"/>
    <s v="Cloud"/>
    <s v="MEN"/>
    <x v="3"/>
    <s v="Ministerio de educación Nacional"/>
    <x v="0"/>
    <s v="Ministerio de educación Nacional"/>
    <m/>
    <x v="7"/>
    <s v="Alejandra Gomez"/>
    <s v="Juan Zambrano"/>
    <s v="Angel Villasmil"/>
    <s v="In Progress"/>
    <m/>
    <m/>
    <m/>
  </r>
  <r>
    <s v="P2640"/>
    <x v="101"/>
    <x v="229"/>
    <s v="Mantenimiento y adiciones SIPU"/>
    <s v="Fixed"/>
    <s v="SEP"/>
    <x v="4"/>
    <s v="Secretaría de Planeación Distrital"/>
    <x v="0"/>
    <s v="Doc Contractual"/>
    <s v="Doc Esencial"/>
    <x v="8"/>
    <s v="Alejandra Gomez"/>
    <s v="Juan Zambrano"/>
    <s v="Angel Villasmil"/>
    <s v="In Progress"/>
    <m/>
    <n v="98717"/>
    <m/>
  </r>
  <r>
    <s v="P2641"/>
    <x v="101"/>
    <x v="230"/>
    <s v="Mantenimiento y adiciones SIPU"/>
    <s v="Cloud"/>
    <s v="SEP"/>
    <x v="3"/>
    <s v="Secretaría de Planeación Distrital"/>
    <x v="0"/>
    <s v="Doc Contractual"/>
    <s v="Doc Esencial"/>
    <x v="8"/>
    <s v="Alejandra Gomez"/>
    <s v="Juan Zambrano"/>
    <s v="Angel Villasmil"/>
    <s v="In Progress"/>
    <m/>
    <n v="98816"/>
    <m/>
  </r>
  <r>
    <s v="P2642"/>
    <x v="101"/>
    <x v="231"/>
    <s v="Mantenimiento y adiciones SIPU"/>
    <s v="Ret"/>
    <s v="SEP"/>
    <x v="2"/>
    <s v="Secretaría de Planeación Distrital"/>
    <x v="0"/>
    <s v="Doc Contractual"/>
    <s v="Doc Esencial"/>
    <x v="8"/>
    <s v="Alejandra Gomez"/>
    <s v="Juan Zambrano"/>
    <s v="Angel Villasmil"/>
    <s v="In Progress"/>
    <m/>
    <n v="98817"/>
    <m/>
  </r>
  <r>
    <s v="P2643"/>
    <x v="101"/>
    <x v="232"/>
    <s v="Mantenimiento y adiciones SIPU"/>
    <s v="Ret SW"/>
    <s v="SEP"/>
    <x v="1"/>
    <s v="Secretaría de Planeación Distrital"/>
    <x v="0"/>
    <s v="Doc Contractual"/>
    <s v="Doc Esencial"/>
    <x v="8"/>
    <s v="Alejandra Gomez"/>
    <s v="Juan Zambrano"/>
    <s v="Angel Villasmil"/>
    <s v="In Progress"/>
    <m/>
    <n v="98818"/>
    <m/>
  </r>
  <r>
    <s v="P2671"/>
    <x v="102"/>
    <x v="233"/>
    <s v="AWS Database Migration &amp; Modernization"/>
    <s v="Fixed"/>
    <s v="HPL"/>
    <x v="4"/>
    <s v="HotelPlanner "/>
    <x v="0"/>
    <m/>
    <m/>
    <x v="7"/>
    <s v="Yidaido Rojas"/>
    <s v="Juan Zambrano"/>
    <m/>
    <s v="In Progress"/>
    <m/>
    <m/>
    <m/>
  </r>
  <r>
    <s v="P2723"/>
    <x v="103"/>
    <x v="234"/>
    <s v="Renovacion observatorio de datos-"/>
    <s v="Fixed"/>
    <s v="SPD"/>
    <x v="4"/>
    <s v="Superintendencia Servicios Públicos Domiciliarios"/>
    <x v="0"/>
    <m/>
    <m/>
    <x v="7"/>
    <s v="Karen Arandia"/>
    <s v="Moises Rojas"/>
    <s v="Juan Camargo"/>
    <s v="In Progress"/>
    <m/>
    <m/>
    <m/>
  </r>
  <r>
    <s v="P2724"/>
    <x v="103"/>
    <x v="235"/>
    <s v="Renovacion observatorio de datos-"/>
    <s v="Ret SW"/>
    <s v="SPD"/>
    <x v="1"/>
    <s v="Superintendencia Servicios Públicos Domiciliarios"/>
    <x v="0"/>
    <m/>
    <m/>
    <x v="7"/>
    <s v="Yidaido Rojas"/>
    <s v="Moises Rojas"/>
    <s v="Juan Camargo"/>
    <s v="In Progress"/>
    <m/>
    <m/>
    <m/>
  </r>
  <r>
    <s v="P2725"/>
    <x v="103"/>
    <x v="236"/>
    <s v="Renovacion observatorio de datos-"/>
    <s v="Cloud"/>
    <s v="SPD"/>
    <x v="3"/>
    <s v="Superintendencia Servicios Públicos Domiciliarios"/>
    <x v="0"/>
    <m/>
    <m/>
    <x v="7"/>
    <s v="Yidaido Rojas"/>
    <s v="Moises Rojas"/>
    <s v="Juan Camargo"/>
    <s v="In Progress"/>
    <m/>
    <m/>
    <m/>
  </r>
  <r>
    <s v="P2726"/>
    <x v="103"/>
    <x v="237"/>
    <s v="Renovacion observatorio de datos-"/>
    <s v="Ret"/>
    <s v="SPD"/>
    <x v="2"/>
    <s v="Superintendencia Servicios Públicos Domiciliarios"/>
    <x v="0"/>
    <m/>
    <m/>
    <x v="7"/>
    <s v="Yidaido Rojas"/>
    <s v="Moises Rojas"/>
    <s v="Juan Camargo"/>
    <s v="In Progress"/>
    <m/>
    <m/>
    <m/>
  </r>
  <r>
    <s v="P2729"/>
    <x v="104"/>
    <x v="238"/>
    <s v="Banco de items Fase 2"/>
    <s v="Ret"/>
    <s v="ICF"/>
    <x v="2"/>
    <s v="Icfes"/>
    <x v="0"/>
    <m/>
    <m/>
    <x v="4"/>
    <s v="Ciliana Capera"/>
    <s v="Nicolas Revollo"/>
    <s v="Juan Sanchéz"/>
    <s v="In Progress"/>
    <m/>
    <m/>
    <m/>
  </r>
  <r>
    <s v="P2730"/>
    <x v="104"/>
    <x v="239"/>
    <s v="Banco de items Fase 2"/>
    <s v="Ret Other Vendors"/>
    <s v="ICF"/>
    <x v="2"/>
    <s v="Icfes"/>
    <x v="0"/>
    <m/>
    <m/>
    <x v="4"/>
    <s v="Ciliana Capera"/>
    <s v="Nicolas Revollo"/>
    <s v="Juan Sanchéz"/>
    <s v="In Progress"/>
    <m/>
    <m/>
    <m/>
  </r>
  <r>
    <s v="P2731"/>
    <x v="104"/>
    <x v="240"/>
    <s v="Banco de items Fase 2"/>
    <s v="Cloud"/>
    <s v="ICF"/>
    <x v="3"/>
    <s v="Icfes"/>
    <x v="0"/>
    <m/>
    <m/>
    <x v="4"/>
    <s v="Ciliana Capera"/>
    <s v="Nicolas Revollo"/>
    <s v="Juan Sanchéz"/>
    <s v="In Progress"/>
    <m/>
    <m/>
    <m/>
  </r>
  <r>
    <s v="P2732"/>
    <x v="105"/>
    <x v="241"/>
    <s v="Datalake 2026-1"/>
    <s v="Ret"/>
    <s v="ICF"/>
    <x v="2"/>
    <s v="Icfes"/>
    <x v="0"/>
    <m/>
    <m/>
    <x v="4"/>
    <s v="Ciliana Capera"/>
    <s v="Moises Rojas"/>
    <s v="Jairo Salas"/>
    <s v="In Progress"/>
    <m/>
    <m/>
    <m/>
  </r>
  <r>
    <s v="P2733"/>
    <x v="105"/>
    <x v="242"/>
    <s v="Datalake 2026-1"/>
    <s v="Cloud"/>
    <s v="ICF"/>
    <x v="3"/>
    <s v="Icfes"/>
    <x v="0"/>
    <m/>
    <m/>
    <x v="4"/>
    <s v="Ciliana Capera"/>
    <s v="Moises Rojas"/>
    <s v="Jairo Salas"/>
    <s v="In Progress"/>
    <m/>
    <m/>
    <m/>
  </r>
  <r>
    <s v="P2734"/>
    <x v="105"/>
    <x v="243"/>
    <s v="Datalake 2026-1"/>
    <s v="Ret SW"/>
    <s v="ICF"/>
    <x v="1"/>
    <s v="Icfes"/>
    <x v="0"/>
    <m/>
    <m/>
    <x v="4"/>
    <s v="Alejandra Gomez"/>
    <s v="Moises Rojas"/>
    <s v="Jairo Salas"/>
    <s v="In Progress"/>
    <m/>
    <m/>
    <m/>
  </r>
  <r>
    <s v="P2736"/>
    <x v="106"/>
    <x v="244"/>
    <s v="Fase 3"/>
    <s v="Fixed"/>
    <s v="CAT"/>
    <x v="4"/>
    <s v="Catastro"/>
    <x v="0"/>
    <m/>
    <m/>
    <x v="1"/>
    <s v="Alejandra Gomez"/>
    <s v="Juan Zambrano"/>
    <m/>
    <s v="In Progress"/>
    <m/>
    <m/>
    <m/>
  </r>
  <r>
    <s v="P2737"/>
    <x v="106"/>
    <x v="245"/>
    <s v="Fase 3"/>
    <s v="Ret"/>
    <s v="CAT"/>
    <x v="2"/>
    <s v="Catastro"/>
    <x v="0"/>
    <m/>
    <m/>
    <x v="1"/>
    <s v="Alejandra Gomez"/>
    <s v="Juan Zambrano"/>
    <m/>
    <s v="In Progress"/>
    <m/>
    <m/>
    <m/>
  </r>
  <r>
    <s v="P2738"/>
    <x v="106"/>
    <x v="246"/>
    <s v="Fase 3"/>
    <s v="Cloud"/>
    <s v="CAT"/>
    <x v="3"/>
    <s v="Catatro"/>
    <x v="0"/>
    <m/>
    <m/>
    <x v="1"/>
    <s v="Alejandra Gomez"/>
    <s v="Juan Zambrano"/>
    <m/>
    <s v="In Progress"/>
    <m/>
    <m/>
    <m/>
  </r>
  <r>
    <s v="P2743"/>
    <x v="107"/>
    <x v="247"/>
    <s v="API Manager"/>
    <s v="Ret"/>
    <s v="CAT"/>
    <x v="2"/>
    <s v="Ingenium"/>
    <x v="0"/>
    <m/>
    <m/>
    <x v="8"/>
    <s v="Daniela Muñoz"/>
    <s v="Moises Rojas"/>
    <m/>
    <s v="In Progress"/>
    <m/>
    <m/>
    <m/>
  </r>
  <r>
    <s v="P2748"/>
    <x v="107"/>
    <x v="248"/>
    <s v="API Manager"/>
    <s v="Fixed"/>
    <s v="CAT"/>
    <x v="4"/>
    <s v="Ingenium"/>
    <x v="0"/>
    <m/>
    <m/>
    <x v="8"/>
    <s v="Daniela Muñoz"/>
    <s v="Moises Rojas"/>
    <m/>
    <s v="In Progress"/>
    <m/>
    <m/>
    <m/>
  </r>
  <r>
    <s v="P2717"/>
    <x v="108"/>
    <x v="249"/>
    <s v="Renovación Semestre 1 - 2025"/>
    <s v="Ret"/>
    <s v="UCA"/>
    <x v="2"/>
    <s v="Universidad de Caldas"/>
    <x v="0"/>
    <s v="Universidad de Caldas"/>
    <s v="ODS 654 - 2025"/>
    <x v="1"/>
    <s v="Alejandra Gomez"/>
    <s v="Carlos Sierra"/>
    <s v="Sebastian Vidal"/>
    <s v="In Progress"/>
    <m/>
    <m/>
    <m/>
  </r>
  <r>
    <s v="P2742"/>
    <x v="109"/>
    <x v="250"/>
    <s v="Citación con Georreferenciación"/>
    <s v="Fixed"/>
    <s v="ICF"/>
    <x v="4"/>
    <s v="Icfes"/>
    <x v="0"/>
    <m/>
    <m/>
    <x v="4"/>
    <s v="Alejandra Gomez"/>
    <s v="Nicolas Revollo"/>
    <s v="Juan Sanchéz"/>
    <s v="In Progress"/>
    <m/>
    <m/>
    <m/>
  </r>
  <r>
    <s v="P2744"/>
    <x v="109"/>
    <x v="251"/>
    <s v="Citación con Georreferenciación"/>
    <s v="Ret"/>
    <s v="ICF"/>
    <x v="2"/>
    <s v="Icfes"/>
    <x v="0"/>
    <m/>
    <m/>
    <x v="4"/>
    <s v="Alejandra Gomez"/>
    <s v="Nicolas Revollo"/>
    <s v="Juan Sanchéz"/>
    <s v="In Progress"/>
    <m/>
    <m/>
    <m/>
  </r>
  <r>
    <s v="P2745"/>
    <x v="109"/>
    <x v="252"/>
    <s v="Citación con Georreferenciación"/>
    <s v="Ret SW"/>
    <s v="ICF"/>
    <x v="1"/>
    <s v="Icfes"/>
    <x v="0"/>
    <m/>
    <m/>
    <x v="4"/>
    <s v="Alejandra Gomez"/>
    <s v="Nicolas Revollo"/>
    <s v="Juan Sanchéz"/>
    <s v="In Progress"/>
    <m/>
    <m/>
    <m/>
  </r>
  <r>
    <s v="P2746"/>
    <x v="109"/>
    <x v="253"/>
    <s v="Citación con Georreferenciación"/>
    <s v="Other Vendors"/>
    <s v="ICF"/>
    <x v="2"/>
    <s v="Icfes"/>
    <x v="0"/>
    <m/>
    <m/>
    <x v="4"/>
    <s v="Alejandra Gomez"/>
    <s v="Nicolas Revollo"/>
    <s v="Juan Sanchéz"/>
    <s v="In Progress"/>
    <m/>
    <m/>
    <m/>
  </r>
  <r>
    <s v="P2747"/>
    <x v="109"/>
    <x v="254"/>
    <s v="Citación con Georreferenciación"/>
    <s v="Cloud"/>
    <s v="ICF"/>
    <x v="3"/>
    <s v="Icfes"/>
    <x v="0"/>
    <m/>
    <m/>
    <x v="4"/>
    <s v="Alejandra Gomez"/>
    <s v="Nicolas Revollo"/>
    <s v="Juan Sanchéz"/>
    <s v="In Progress"/>
    <m/>
    <m/>
    <m/>
  </r>
  <r>
    <s v="Pending"/>
    <x v="110"/>
    <x v="255"/>
    <s v="Rendara - MVP Implementación"/>
    <s v="Pending"/>
    <s v="REN"/>
    <x v="4"/>
    <s v="Rendara"/>
    <x v="1"/>
    <s v="Rendara S.A.S"/>
    <s v="Contrato de suministro de célula ágil"/>
    <x v="9"/>
    <s v="Karen Arandia"/>
    <s v="Carlos Sierra"/>
    <m/>
    <s v="Complete"/>
    <s v="Carlos.Aroca"/>
    <m/>
    <s v="Operations_Team_01"/>
  </r>
  <r>
    <s v="Pending"/>
    <x v="111"/>
    <x v="256"/>
    <s v="Desarrollo Muttu 2.0"/>
    <s v="Pending"/>
    <s v="MTU"/>
    <x v="4"/>
    <s v="Muttu"/>
    <x v="1"/>
    <s v="Fiducoldex- Muttu"/>
    <s v="Cto Muttu 2.0"/>
    <x v="9"/>
    <s v="Karen Arandia"/>
    <s v="Carlos Sierra"/>
    <m/>
    <s v="Complete"/>
    <s v="N. A."/>
    <m/>
    <s v="Operations_Team_01"/>
  </r>
  <r>
    <s v="Pending"/>
    <x v="112"/>
    <x v="257"/>
    <s v="Operación - Muttu V2.0"/>
    <s v="Pending"/>
    <s v="MTU"/>
    <x v="4"/>
    <s v="Muttu"/>
    <x v="1"/>
    <s v="Fiducoldex"/>
    <s v="Operacion.MTU"/>
    <x v="9"/>
    <s v="Karen Arandia"/>
    <s v="Carlos Sierra"/>
    <m/>
    <s v="Complete"/>
    <s v="Carlos.Aroca"/>
    <m/>
    <s v="Operations_Team_01"/>
  </r>
  <r>
    <s v="Pending"/>
    <x v="113"/>
    <x v="258"/>
    <s v="Assessment Data Analytics"/>
    <s v="Pending"/>
    <s v="BCX"/>
    <x v="4"/>
    <s v="Banco de Desarrollo Empresarial de Colombia"/>
    <x v="1"/>
    <s v="Bancoldex"/>
    <s v="Contrato Ingenium"/>
    <x v="9"/>
    <s v="Alejandra Gomez"/>
    <s v="Harold Moncaleano"/>
    <s v="N.A."/>
    <s v="Complete"/>
    <s v="N. A."/>
    <m/>
    <s v="No Aplica"/>
  </r>
  <r>
    <s v="Pending"/>
    <x v="114"/>
    <x v="259"/>
    <s v="POC Agente Cognitivo Contratación"/>
    <s v="Pending"/>
    <s v="FDN"/>
    <x v="4"/>
    <s v="Financiera de Desarrollo Nacional"/>
    <x v="1"/>
    <s v="FND"/>
    <s v="POC Agente Cognitivo"/>
    <x v="4"/>
    <s v="Alejandra Gomez"/>
    <s v="Nicolas Revollo"/>
    <s v="Juan Sanchéz"/>
    <s v="Complete"/>
    <s v="N. A."/>
    <m/>
    <s v="No Aplica"/>
  </r>
  <r>
    <s v="Pending"/>
    <x v="115"/>
    <x v="260"/>
    <s v="POC - Grupos Relacionados por el Diagnóstico (GRDs)"/>
    <s v="Pending"/>
    <s v="MDR"/>
    <x v="4"/>
    <s v="Mederi"/>
    <x v="1"/>
    <s v="MDERI"/>
    <s v="POC - GRDs"/>
    <x v="9"/>
    <s v="Marcela Sanchéz"/>
    <s v="Harold Moncaleano"/>
    <s v="N.A."/>
    <s v="Complete"/>
    <s v="N. A."/>
    <m/>
    <s v="No Aplica"/>
  </r>
  <r>
    <s v="Pending"/>
    <x v="116"/>
    <x v="261"/>
    <s v="POC - Análisis de llamadas"/>
    <s v="Pending"/>
    <s v="PRO"/>
    <x v="4"/>
    <s v="--"/>
    <x v="1"/>
    <s v="Progresión"/>
    <s v="POC - Análisis de llamadas"/>
    <x v="2"/>
    <s v="Daniela Muñoz"/>
    <s v="Harold Moncaleano"/>
    <s v="N.A."/>
    <s v="Complete"/>
    <s v="N. A."/>
    <m/>
    <s v="No Aplica"/>
  </r>
  <r>
    <s v="Pending"/>
    <x v="117"/>
    <x v="262"/>
    <s v="POC - EVA"/>
    <s v="Pending"/>
    <s v="MTC"/>
    <x v="4"/>
    <s v="MinTic"/>
    <x v="1"/>
    <s v="Minciencias POC EVA"/>
    <s v="N.A."/>
    <x v="5"/>
    <s v="Karen Arandia"/>
    <s v="Harold Moncaleano"/>
    <s v="N.A."/>
    <s v="Complete"/>
    <s v="N. A."/>
    <m/>
    <s v="No Aplica"/>
  </r>
  <r>
    <s v="Pending"/>
    <x v="118"/>
    <x v="263"/>
    <s v="PoC ACI Pagos Inmediatos"/>
    <s v="Pending"/>
    <s v="BRE"/>
    <x v="4"/>
    <s v="Banco de la República"/>
    <x v="1"/>
    <s v="Banco de la República"/>
    <s v="PoC ACI Pagos Inmediatos"/>
    <x v="0"/>
    <s v="Daniela Muñoz"/>
    <s v="Juan Tinjaca"/>
    <s v="N.A."/>
    <s v="Complete"/>
    <s v="N. A."/>
    <m/>
    <s v="No Aplica"/>
  </r>
  <r>
    <s v="Pending"/>
    <x v="119"/>
    <x v="264"/>
    <s v="Poc Analitica"/>
    <s v="Pending"/>
    <s v="CCB"/>
    <x v="4"/>
    <s v="Camara de Comercio de Bogotá"/>
    <x v="1"/>
    <s v="Poc Análitica CCB"/>
    <m/>
    <x v="9"/>
    <s v="Karen Arandia"/>
    <s v="Moises Rojas"/>
    <s v="Juan Goméz"/>
    <s v="Complete"/>
    <s v="N. A."/>
    <m/>
    <s v="No Aplica"/>
  </r>
  <r>
    <m/>
    <x v="120"/>
    <x v="265"/>
    <m/>
    <m/>
    <m/>
    <x v="5"/>
    <s v="--"/>
    <x v="2"/>
    <m/>
    <m/>
    <x v="9"/>
    <m/>
    <m/>
    <m/>
    <m/>
    <m/>
    <m/>
    <m/>
  </r>
  <r>
    <m/>
    <x v="120"/>
    <x v="266"/>
    <m/>
    <m/>
    <m/>
    <x v="5"/>
    <m/>
    <x v="2"/>
    <m/>
    <m/>
    <x v="9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491AEB-A5E2-4D2F-BB93-FF2FBA7D28F1}" name="PivotTable2" cacheId="11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B71" firstHeaderRow="1" firstDataRow="1" firstDataCol="2" rowPageCount="2" colPageCount="1"/>
  <pivotFields count="18"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40">
        <item x="2"/>
        <item x="31"/>
        <item x="30"/>
        <item x="3"/>
        <item x="4"/>
        <item m="1" x="34"/>
        <item x="8"/>
        <item h="1" x="0"/>
        <item m="1" x="36"/>
        <item x="1"/>
        <item x="9"/>
        <item m="1" x="37"/>
        <item x="10"/>
        <item x="13"/>
        <item x="11"/>
        <item x="6"/>
        <item x="14"/>
        <item x="15"/>
        <item x="16"/>
        <item x="17"/>
        <item x="18"/>
        <item x="7"/>
        <item m="1" x="35"/>
        <item x="24"/>
        <item x="19"/>
        <item m="1" x="33"/>
        <item x="28"/>
        <item x="29"/>
        <item m="1" x="32"/>
        <item x="20"/>
        <item x="21"/>
        <item x="27"/>
        <item x="22"/>
        <item x="25"/>
        <item x="5"/>
        <item x="23"/>
        <item x="12"/>
        <item x="26"/>
        <item m="1" x="38"/>
        <item t="default"/>
      </items>
    </pivotField>
    <pivotField compact="0" outline="0" showAll="0"/>
    <pivotField axis="axisRow" compact="0" showAll="0" insertBlankRow="1" defaultSubtotal="0">
      <items count="53">
        <item m="1" x="48"/>
        <item m="1" x="47"/>
        <item x="4"/>
        <item x="3"/>
        <item m="1" x="38"/>
        <item m="1" x="41"/>
        <item x="9"/>
        <item x="0"/>
        <item m="1" x="34"/>
        <item m="1" x="42"/>
        <item x="11"/>
        <item x="14"/>
        <item x="12"/>
        <item x="7"/>
        <item x="25"/>
        <item x="5"/>
        <item x="16"/>
        <item x="17"/>
        <item x="18"/>
        <item m="1" x="43"/>
        <item x="8"/>
        <item m="1" x="39"/>
        <item m="1" x="52"/>
        <item x="20"/>
        <item m="1" x="37"/>
        <item m="1" x="51"/>
        <item x="29"/>
        <item m="1" x="46"/>
        <item x="30"/>
        <item m="1" x="45"/>
        <item m="1" x="36"/>
        <item x="21"/>
        <item x="22"/>
        <item m="1" x="44"/>
        <item x="23"/>
        <item m="1" x="35"/>
        <item x="6"/>
        <item x="10"/>
        <item x="24"/>
        <item x="15"/>
        <item m="1" x="50"/>
        <item x="13"/>
        <item x="27"/>
        <item m="1" x="49"/>
        <item x="19"/>
        <item x="26"/>
        <item m="1" x="33"/>
        <item x="2"/>
        <item m="1" x="40"/>
        <item x="31"/>
        <item x="32"/>
        <item x="1"/>
        <item x="2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>
      <items count="7">
        <item x="0"/>
        <item h="1" m="1" x="3"/>
        <item h="1" x="1"/>
        <item h="1" m="1" x="2"/>
        <item m="1" x="5"/>
        <item h="1" m="1" x="4"/>
        <item t="default"/>
      </items>
    </pivotField>
    <pivotField compact="0" outline="0" showAll="0"/>
    <pivotField compact="0" outline="0" showAll="0"/>
    <pivotField axis="axisRow" compact="0" outline="0" showAll="0">
      <items count="17">
        <item m="1" x="14"/>
        <item x="5"/>
        <item x="10"/>
        <item m="1" x="12"/>
        <item x="4"/>
        <item m="1" x="13"/>
        <item m="1" x="15"/>
        <item x="2"/>
        <item x="0"/>
        <item x="9"/>
        <item m="1" x="11"/>
        <item x="3"/>
        <item x="6"/>
        <item x="7"/>
        <item x="1"/>
        <item x="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6"/>
    <field x="10"/>
  </rowFields>
  <rowItems count="67">
    <i>
      <x v="6"/>
    </i>
    <i r="1">
      <x v="15"/>
    </i>
    <i t="blank">
      <x v="6"/>
    </i>
    <i>
      <x v="10"/>
    </i>
    <i r="1">
      <x v="7"/>
    </i>
    <i t="blank">
      <x v="10"/>
    </i>
    <i>
      <x v="11"/>
    </i>
    <i r="1">
      <x v="4"/>
    </i>
    <i t="blank">
      <x v="11"/>
    </i>
    <i>
      <x v="12"/>
    </i>
    <i r="1">
      <x v="11"/>
    </i>
    <i t="blank">
      <x v="12"/>
    </i>
    <i>
      <x v="13"/>
    </i>
    <i r="1">
      <x v="4"/>
    </i>
    <i t="blank">
      <x v="13"/>
    </i>
    <i>
      <x v="14"/>
    </i>
    <i r="1">
      <x v="1"/>
    </i>
    <i t="blank">
      <x v="14"/>
    </i>
    <i>
      <x v="16"/>
    </i>
    <i r="1">
      <x v="11"/>
    </i>
    <i t="blank">
      <x v="16"/>
    </i>
    <i>
      <x v="17"/>
    </i>
    <i r="1">
      <x v="12"/>
    </i>
    <i t="blank">
      <x v="17"/>
    </i>
    <i>
      <x v="20"/>
    </i>
    <i r="1">
      <x v="11"/>
    </i>
    <i t="blank">
      <x v="20"/>
    </i>
    <i>
      <x v="26"/>
    </i>
    <i r="1">
      <x v="12"/>
    </i>
    <i t="blank">
      <x v="26"/>
    </i>
    <i>
      <x v="28"/>
    </i>
    <i r="1">
      <x v="14"/>
    </i>
    <i t="blank">
      <x v="28"/>
    </i>
    <i>
      <x v="31"/>
    </i>
    <i r="1">
      <x v="15"/>
    </i>
    <i t="blank">
      <x v="31"/>
    </i>
    <i>
      <x v="32"/>
    </i>
    <i r="1">
      <x v="11"/>
    </i>
    <i t="blank">
      <x v="32"/>
    </i>
    <i>
      <x v="36"/>
    </i>
    <i r="1">
      <x v="11"/>
    </i>
    <i t="blank">
      <x v="36"/>
    </i>
    <i>
      <x v="37"/>
    </i>
    <i r="1">
      <x v="14"/>
    </i>
    <i t="blank">
      <x v="37"/>
    </i>
    <i>
      <x v="38"/>
    </i>
    <i r="1">
      <x v="14"/>
    </i>
    <i t="blank">
      <x v="38"/>
    </i>
    <i>
      <x v="41"/>
    </i>
    <i r="1">
      <x v="14"/>
    </i>
    <i t="blank">
      <x v="41"/>
    </i>
    <i>
      <x v="44"/>
    </i>
    <i r="1">
      <x v="4"/>
    </i>
    <i t="blank">
      <x v="44"/>
    </i>
    <i>
      <x v="45"/>
    </i>
    <i r="1">
      <x v="13"/>
    </i>
    <i t="blank">
      <x v="45"/>
    </i>
    <i>
      <x v="47"/>
    </i>
    <i r="1">
      <x v="14"/>
    </i>
    <i t="blank">
      <x v="47"/>
    </i>
    <i>
      <x v="50"/>
    </i>
    <i r="1">
      <x v="8"/>
    </i>
    <i t="blank">
      <x v="50"/>
    </i>
    <i>
      <x v="51"/>
    </i>
    <i r="1">
      <x v="14"/>
    </i>
    <i t="blank">
      <x v="51"/>
    </i>
    <i t="grand">
      <x/>
    </i>
  </rowItems>
  <colItems count="1">
    <i/>
  </colItems>
  <pageFields count="2">
    <pageField fld="4" hier="-1"/>
    <pageField fld="7" item="0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3CCAB2-3AF6-4304-8CCE-38201DB07514}" name="Project" cacheId="1169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A4:B16" firstHeaderRow="1" firstDataRow="1" firstDataCol="1" rowPageCount="2" colPageCount="1"/>
  <pivotFields count="19"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6">
        <item x="3"/>
        <item x="4"/>
        <item x="0"/>
        <item x="2"/>
        <item x="1"/>
        <item x="5"/>
      </items>
    </pivotField>
    <pivotField compact="0" outline="0" showAll="0" defaultSubtotal="0"/>
    <pivotField axis="axisPage" compact="0" outline="0" multipleItemSelectionAllowed="1" showAll="0" defaultSubtotal="0">
      <items count="3">
        <item x="0"/>
        <item x="1"/>
        <item x="2"/>
      </items>
    </pivotField>
    <pivotField compact="0" outline="0" showAll="0" defaultSubtotal="0"/>
    <pivotField compact="0" outline="0" showAll="0" defaultSubtotal="0"/>
    <pivotField axis="axisRow" compact="0" outline="0" showAll="0" defaultSubtotal="0">
      <items count="13">
        <item x="6"/>
        <item x="3"/>
        <item x="8"/>
        <item x="5"/>
        <item x="10"/>
        <item x="11"/>
        <item x="4"/>
        <item m="1" x="12"/>
        <item x="2"/>
        <item x="7"/>
        <item x="0"/>
        <item x="1"/>
        <item x="9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1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0"/>
    </i>
    <i>
      <x v="11"/>
    </i>
    <i>
      <x v="12"/>
    </i>
  </rowItems>
  <colItems count="1">
    <i/>
  </colItems>
  <pageFields count="2">
    <pageField fld="8" hier="-1"/>
    <pageField fld="6" hier="-1"/>
  </pageFields>
  <dataFields count="1">
    <dataField name="Count of Project Name Full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D3CFD5-FC61-49AA-B547-2DB7888948CF}" name="Tabla dinámica1" cacheId="1169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A4:C38" firstHeaderRow="1" firstDataRow="1" firstDataCol="3" rowPageCount="2" colPageCount="1"/>
  <pivotFields count="19">
    <pivotField compact="0" outline="0" showAll="0" defaultSubtotal="0"/>
    <pivotField axis="axisRow" compact="0" outline="0" showAll="0" defaultSubtotal="0">
      <items count="121">
        <item x="110"/>
        <item x="3"/>
        <item x="26"/>
        <item x="61"/>
        <item x="0"/>
        <item x="62"/>
        <item x="76"/>
        <item x="11"/>
        <item x="45"/>
        <item x="12"/>
        <item x="1"/>
        <item x="6"/>
        <item x="16"/>
        <item x="13"/>
        <item x="111"/>
        <item x="18"/>
        <item x="7"/>
        <item x="15"/>
        <item x="17"/>
        <item x="25"/>
        <item x="19"/>
        <item x="112"/>
        <item x="21"/>
        <item x="46"/>
        <item x="22"/>
        <item x="28"/>
        <item x="34"/>
        <item x="14"/>
        <item x="29"/>
        <item x="30"/>
        <item x="31"/>
        <item x="35"/>
        <item x="23"/>
        <item x="33"/>
        <item x="20"/>
        <item x="2"/>
        <item x="81"/>
        <item x="113"/>
        <item x="32"/>
        <item x="24"/>
        <item x="37"/>
        <item x="114"/>
        <item x="39"/>
        <item x="8"/>
        <item x="38"/>
        <item x="5"/>
        <item x="115"/>
        <item x="116"/>
        <item x="117"/>
        <item x="42"/>
        <item x="36"/>
        <item x="40"/>
        <item x="118"/>
        <item x="41"/>
        <item x="4"/>
        <item x="10"/>
        <item x="9"/>
        <item x="43"/>
        <item x="44"/>
        <item x="119"/>
        <item x="47"/>
        <item x="48"/>
        <item x="27"/>
        <item x="50"/>
        <item x="51"/>
        <item x="53"/>
        <item x="54"/>
        <item x="52"/>
        <item x="55"/>
        <item x="56"/>
        <item x="49"/>
        <item x="57"/>
        <item x="58"/>
        <item x="59"/>
        <item x="60"/>
        <item x="63"/>
        <item x="64"/>
        <item x="65"/>
        <item x="66"/>
        <item x="67"/>
        <item x="68"/>
        <item x="69"/>
        <item x="72"/>
        <item x="73"/>
        <item x="70"/>
        <item x="71"/>
        <item x="74"/>
        <item x="75"/>
        <item x="77"/>
        <item x="78"/>
        <item x="79"/>
        <item x="80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20"/>
        <item x="109"/>
      </items>
    </pivotField>
    <pivotField axis="axisRow" compact="0" outline="0" showAll="0" defaultSubtotal="0">
      <items count="268">
        <item x="169"/>
        <item x="170"/>
        <item x="173"/>
        <item x="172"/>
        <item x="88"/>
        <item x="87"/>
        <item x="143"/>
        <item x="142"/>
        <item x="144"/>
        <item x="145"/>
        <item x="146"/>
        <item x="5"/>
        <item x="6"/>
        <item x="9"/>
        <item x="7"/>
        <item x="8"/>
        <item x="163"/>
        <item x="141"/>
        <item x="174"/>
        <item x="175"/>
        <item x="197"/>
        <item x="198"/>
        <item x="200"/>
        <item x="199"/>
        <item x="166"/>
        <item x="165"/>
        <item x="159"/>
        <item x="158"/>
        <item x="161"/>
        <item x="176"/>
        <item x="10"/>
        <item x="12"/>
        <item x="11"/>
        <item x="14"/>
        <item x="13"/>
        <item x="15"/>
        <item x="16"/>
        <item x="258"/>
        <item x="83"/>
        <item x="79"/>
        <item x="82"/>
        <item x="84"/>
        <item x="21"/>
        <item x="22"/>
        <item x="97"/>
        <item x="171"/>
        <item x="162"/>
        <item x="1"/>
        <item x="121"/>
        <item x="122"/>
        <item x="2"/>
        <item x="263"/>
        <item x="4"/>
        <item x="3"/>
        <item x="134"/>
        <item x="137"/>
        <item x="135"/>
        <item x="136"/>
        <item x="25"/>
        <item x="24"/>
        <item x="264"/>
        <item x="26"/>
        <item x="212"/>
        <item x="213"/>
        <item x="214"/>
        <item x="215"/>
        <item x="216"/>
        <item x="217"/>
        <item x="218"/>
        <item x="219"/>
        <item x="63"/>
        <item x="61"/>
        <item x="29"/>
        <item x="62"/>
        <item x="120"/>
        <item x="119"/>
        <item x="123"/>
        <item x="124"/>
        <item x="189"/>
        <item x="188"/>
        <item x="191"/>
        <item x="190"/>
        <item x="193"/>
        <item x="192"/>
        <item x="195"/>
        <item x="194"/>
        <item x="196"/>
        <item x="246"/>
        <item x="244"/>
        <item x="245"/>
        <item x="221"/>
        <item x="224"/>
        <item x="222"/>
        <item x="223"/>
        <item x="225"/>
        <item x="240"/>
        <item x="238"/>
        <item x="239"/>
        <item x="242"/>
        <item x="241"/>
        <item x="243"/>
        <item x="248"/>
        <item x="247"/>
        <item x="209"/>
        <item x="210"/>
        <item x="211"/>
        <item x="228"/>
        <item x="226"/>
        <item x="227"/>
        <item x="236"/>
        <item x="234"/>
        <item x="237"/>
        <item x="235"/>
        <item x="249"/>
        <item x="205"/>
        <item x="208"/>
        <item x="207"/>
        <item x="206"/>
        <item x="0"/>
        <item x="220"/>
        <item x="129"/>
        <item x="130"/>
        <item x="131"/>
        <item x="94"/>
        <item x="95"/>
        <item x="157"/>
        <item x="155"/>
        <item x="156"/>
        <item x="164"/>
        <item x="160"/>
        <item x="96"/>
        <item x="27"/>
        <item x="98"/>
        <item x="99"/>
        <item x="100"/>
        <item x="18"/>
        <item x="23"/>
        <item x="35"/>
        <item x="33"/>
        <item x="34"/>
        <item x="259"/>
        <item x="85"/>
        <item x="64"/>
        <item x="37"/>
        <item x="101"/>
        <item x="102"/>
        <item x="103"/>
        <item x="105"/>
        <item x="104"/>
        <item x="40"/>
        <item x="38"/>
        <item x="39"/>
        <item x="41"/>
        <item x="233"/>
        <item x="201"/>
        <item x="203"/>
        <item x="140"/>
        <item x="147"/>
        <item x="148"/>
        <item x="150"/>
        <item x="149"/>
        <item x="44"/>
        <item x="42"/>
        <item x="43"/>
        <item x="45"/>
        <item x="151"/>
        <item x="152"/>
        <item x="202"/>
        <item m="1" x="267"/>
        <item x="20"/>
        <item x="19"/>
        <item x="260"/>
        <item x="67"/>
        <item x="66"/>
        <item x="69"/>
        <item x="68"/>
        <item x="52"/>
        <item x="51"/>
        <item x="50"/>
        <item x="54"/>
        <item x="53"/>
        <item x="262"/>
        <item x="256"/>
        <item x="257"/>
        <item x="91"/>
        <item x="89"/>
        <item x="92"/>
        <item x="90"/>
        <item x="261"/>
        <item x="154"/>
        <item x="153"/>
        <item x="255"/>
        <item x="55"/>
        <item x="133"/>
        <item x="132"/>
        <item x="57"/>
        <item x="58"/>
        <item x="56"/>
        <item x="177"/>
        <item x="179"/>
        <item x="230"/>
        <item x="229"/>
        <item x="231"/>
        <item x="232"/>
        <item x="81"/>
        <item x="59"/>
        <item x="60"/>
        <item x="72"/>
        <item x="70"/>
        <item x="71"/>
        <item x="17"/>
        <item x="65"/>
        <item x="139"/>
        <item x="138"/>
        <item x="204"/>
        <item x="125"/>
        <item x="126"/>
        <item x="115"/>
        <item x="114"/>
        <item x="47"/>
        <item x="116"/>
        <item x="117"/>
        <item x="106"/>
        <item x="107"/>
        <item x="77"/>
        <item x="36"/>
        <item x="32"/>
        <item x="75"/>
        <item x="73"/>
        <item x="74"/>
        <item x="49"/>
        <item x="46"/>
        <item x="127"/>
        <item x="128"/>
        <item x="108"/>
        <item x="112"/>
        <item x="113"/>
        <item x="30"/>
        <item x="31"/>
        <item x="48"/>
        <item x="76"/>
        <item x="86"/>
        <item x="118"/>
        <item x="28"/>
        <item x="168"/>
        <item x="167"/>
        <item x="185"/>
        <item x="187"/>
        <item x="186"/>
        <item x="80"/>
        <item x="266"/>
        <item x="78"/>
        <item x="93"/>
        <item x="109"/>
        <item x="110"/>
        <item x="111"/>
        <item x="178"/>
        <item x="180"/>
        <item x="181"/>
        <item x="182"/>
        <item x="183"/>
        <item x="184"/>
        <item x="250"/>
        <item x="251"/>
        <item x="252"/>
        <item x="253"/>
        <item x="254"/>
        <item x="265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6">
        <item h="1" x="3"/>
        <item x="4"/>
        <item h="1" x="0"/>
        <item h="1" x="2"/>
        <item h="1" x="1"/>
        <item h="1" x="5"/>
      </items>
    </pivotField>
    <pivotField compact="0" outline="0" showAll="0" defaultSubtotal="0"/>
    <pivotField axis="axisPage" compact="0" outline="0" multipleItemSelectionAllowed="1" showAll="0" defaultSubtotal="0">
      <items count="3">
        <item x="0"/>
        <item h="1" x="1"/>
        <item h="1" x="2"/>
      </items>
    </pivotField>
    <pivotField compact="0" outline="0" showAll="0" defaultSubtotal="0"/>
    <pivotField compact="0" outline="0" showAll="0" defaultSubtotal="0"/>
    <pivotField axis="axisRow" compact="0" outline="0" showAll="0" defaultSubtotal="0">
      <items count="13">
        <item x="6"/>
        <item x="3"/>
        <item x="8"/>
        <item x="5"/>
        <item x="10"/>
        <item x="11"/>
        <item x="4"/>
        <item m="1" x="12"/>
        <item x="2"/>
        <item x="7"/>
        <item x="0"/>
        <item x="1"/>
        <item x="9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1"/>
    <field x="2"/>
    <field x="11"/>
  </rowFields>
  <rowItems count="34">
    <i>
      <x v="17"/>
      <x v="136"/>
      <x v="6"/>
    </i>
    <i>
      <x v="24"/>
      <x v="226"/>
      <x v="11"/>
    </i>
    <i>
      <x v="40"/>
      <x v="142"/>
      <x v="1"/>
    </i>
    <i>
      <x v="42"/>
      <x v="173"/>
      <x v="3"/>
    </i>
    <i>
      <x v="53"/>
      <x v="228"/>
      <x v="11"/>
    </i>
    <i>
      <x v="58"/>
      <x v="39"/>
      <x v="2"/>
    </i>
    <i>
      <x v="63"/>
      <x v="185"/>
      <x/>
    </i>
    <i>
      <x v="65"/>
      <x v="145"/>
      <x/>
    </i>
    <i>
      <x v="74"/>
      <x v="75"/>
      <x v="6"/>
    </i>
    <i>
      <x v="76"/>
      <x v="233"/>
      <x v="11"/>
    </i>
    <i>
      <x v="79"/>
      <x v="55"/>
      <x v="11"/>
    </i>
    <i>
      <x v="86"/>
      <x v="126"/>
      <x v="1"/>
    </i>
    <i>
      <x v="88"/>
      <x v="25"/>
      <x v="10"/>
    </i>
    <i>
      <x v="89"/>
      <x v="245"/>
      <x v="11"/>
    </i>
    <i>
      <x v="92"/>
      <x v="18"/>
      <x v="8"/>
    </i>
    <i>
      <x v="93"/>
      <x v="198"/>
      <x v="9"/>
    </i>
    <i>
      <x v="94"/>
      <x v="258"/>
      <x v="1"/>
    </i>
    <i>
      <x v="96"/>
      <x v="79"/>
      <x v="5"/>
    </i>
    <i>
      <x v="97"/>
      <x v="83"/>
      <x v="3"/>
    </i>
    <i>
      <x v="98"/>
      <x v="20"/>
      <x v="8"/>
    </i>
    <i>
      <x v="102"/>
      <x v="214"/>
      <x/>
    </i>
    <i>
      <x v="103"/>
      <x v="115"/>
      <x v="11"/>
    </i>
    <i>
      <x v="104"/>
      <x v="104"/>
      <x v="1"/>
    </i>
    <i>
      <x v="105"/>
      <x v="63"/>
      <x v="6"/>
    </i>
    <i>
      <x v="106"/>
      <x v="67"/>
      <x v="6"/>
    </i>
    <i>
      <x v="107"/>
      <x v="119"/>
      <x/>
    </i>
    <i>
      <x v="109"/>
      <x v="92"/>
      <x v="11"/>
    </i>
    <i>
      <x v="110"/>
      <x v="107"/>
      <x v="9"/>
    </i>
    <i>
      <x v="111"/>
      <x v="201"/>
      <x v="2"/>
    </i>
    <i>
      <x v="112"/>
      <x v="153"/>
      <x v="9"/>
    </i>
    <i>
      <x v="113"/>
      <x v="110"/>
      <x v="9"/>
    </i>
    <i>
      <x v="116"/>
      <x v="88"/>
      <x v="11"/>
    </i>
    <i>
      <x v="117"/>
      <x v="101"/>
      <x v="2"/>
    </i>
    <i>
      <x v="120"/>
      <x v="262"/>
      <x v="6"/>
    </i>
  </rowItems>
  <colItems count="1">
    <i/>
  </colItems>
  <pageFields count="2">
    <pageField fld="8" hier="-1"/>
    <pageField fld="6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6B6AC5-1603-4226-B5FA-5F3059529C47}" name="TablaMaestroProyectos" displayName="TablaMaestroProyectos" ref="A1:Z284" totalsRowShown="0" headerRowDxfId="186">
  <autoFilter ref="A1:Z284" xr:uid="{00000000-0001-0000-0000-000000000000}">
    <filterColumn colId="11">
      <filters>
        <filter val="Indira Duarte"/>
      </filters>
    </filterColumn>
  </autoFilter>
  <sortState xmlns:xlrd2="http://schemas.microsoft.com/office/spreadsheetml/2017/richdata2" ref="A2:Y279">
    <sortCondition ref="B1:B279"/>
  </sortState>
  <tableColumns count="26">
    <tableColumn id="1" xr3:uid="{BC38DF91-0A17-4BFF-B712-9197F46C466A}" name="Project ID" dataDxfId="185"/>
    <tableColumn id="2" xr3:uid="{F872956B-D20A-4D92-8AC0-5827F4396A37}" name="ID Old" dataDxfId="184"/>
    <tableColumn id="3" xr3:uid="{7216FBC6-14D2-4C50-B769-7178EE4F8E10}" name="Project Name Full" dataDxfId="183">
      <calculatedColumnFormula>F2&amp;" - "&amp;D2&amp;" - "&amp;E2</calculatedColumnFormula>
    </tableColumn>
    <tableColumn id="4" xr3:uid="{1AA67ECB-F780-4163-9FD7-3C16555FD3F5}" name="Objetivo" dataDxfId="182"/>
    <tableColumn id="5" xr3:uid="{1124D748-58C7-4ED7-B1DE-5EE3BA8801B8}" name="Blend Project Type" dataDxfId="181"/>
    <tableColumn id="6" xr3:uid="{DC8FBFDC-4143-4E8C-B2F4-AB33B0C30D66}" name="Sigla" dataDxfId="180"/>
    <tableColumn id="7" xr3:uid="{E4AB892A-C3E4-4BA2-B620-A39531F14564}" name="Type Project" dataDxfId="179"/>
    <tableColumn id="8" xr3:uid="{21B1CC16-B5E5-448C-AEA3-12912E5BEDBB}" name="Client Name" dataDxfId="178">
      <calculatedColumnFormula>_xlfn.IFNA(VLOOKUP(F2,clientes!A:B,2,FALSE()),"--")</calculatedColumnFormula>
    </tableColumn>
    <tableColumn id="9" xr3:uid="{BBEEC053-34BE-453A-8302-0D7B30C496CC}" name="Status" dataDxfId="177"/>
    <tableColumn id="10" xr3:uid="{D14010CB-F5EA-4B15-A94A-A8F6E0200B79}" name="Folder Legal" dataDxfId="176"/>
    <tableColumn id="11" xr3:uid="{A7FF8645-1A13-4A9E-B36C-9D3792F6D837}" name="Foldel Project Admin" dataDxfId="175"/>
    <tableColumn id="12" xr3:uid="{7DE9C650-0FBC-4D2D-AC52-73D29FF8CC15}" name="Project Manager" dataDxfId="174"/>
    <tableColumn id="13" xr3:uid="{8D28F940-530F-4870-ABEE-9B25FBB0FC3A}" name="Account Manager" dataDxfId="173"/>
    <tableColumn id="14" xr3:uid="{1F036AC1-93A1-42A9-8103-D2C91E5F1B9D}" name="Technical Leader" dataDxfId="172"/>
    <tableColumn id="15" xr3:uid="{C533F5F2-3514-4A47-820F-80EE951B1D38}" name="Sr Tech" dataDxfId="171"/>
    <tableColumn id="16" xr3:uid="{DAB354B7-B265-4B4B-B9C1-AC39771380DC}" name="Contract Type" dataDxfId="170"/>
    <tableColumn id="17" xr3:uid="{D6F7E055-39D7-4449-B928-D7F3FBDCC79A}" name="Support Engineer" dataDxfId="169"/>
    <tableColumn id="18" xr3:uid="{00AD8A48-3BFD-4F38-BE67-CCB0C2BE5861}" name="NetSuite" dataDxfId="168"/>
    <tableColumn id="19" xr3:uid="{2917870B-4D14-41B2-B8C0-7CC29753E9A6}" name="Team" dataDxfId="167"/>
    <tableColumn id="20" xr3:uid="{0E640648-DE29-4CC8-A144-9D504735D817}" name="Tipo de contrato " dataDxfId="166"/>
    <tableColumn id="21" xr3:uid="{3DF94381-805C-447C-A30D-81418548FCBC}" name="Contrato" dataDxfId="165"/>
    <tableColumn id="22" xr3:uid="{51A0EEEC-2C58-4423-B47D-8B8EFA5281DE}" name="CET" dataDxfId="164"/>
    <tableColumn id="23" xr3:uid="{0F49CB21-2E56-4803-BE9F-36252C5C3D94}" name="Ficha tecnica" dataDxfId="163"/>
    <tableColumn id="24" xr3:uid="{191DF6B3-2DF0-4869-B9BF-2E035221CBA5}" name="Legal" dataDxfId="162"/>
    <tableColumn id="25" xr3:uid="{BF7B5CF1-28AA-48FF-9276-6F5E6D6C9756}" name="Kick off" dataDxfId="161"/>
    <tableColumn id="26" xr3:uid="{841C2C54-4AE5-4837-8430-F1472FCCBF09}" name="Comites de estión" dataDxfId="16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AE1C0E-9919-404A-B1D6-0D81DBE40A9F}" name="TablaMaestroProyectos3" displayName="TablaMaestroProyectos3" ref="A1:Y281" totalsRowShown="0" headerRowDxfId="25">
  <autoFilter ref="A1:Y281" xr:uid="{00000000-0001-0000-0000-000000000000}"/>
  <sortState xmlns:xlrd2="http://schemas.microsoft.com/office/spreadsheetml/2017/richdata2" ref="A2:Y281">
    <sortCondition ref="B1:B281"/>
  </sortState>
  <tableColumns count="25">
    <tableColumn id="1" xr3:uid="{7A565612-EEE7-4BB0-B12F-69AC5C80B87A}" name="Project ID" dataDxfId="24"/>
    <tableColumn id="2" xr3:uid="{6FFF71CB-695D-4F38-AC27-FDE34659CB77}" name="ID Old" dataDxfId="23"/>
    <tableColumn id="3" xr3:uid="{CAD19995-1DD2-4213-BD87-87F7192E4DBA}" name="Project Name Full" dataDxfId="22">
      <calculatedColumnFormula>F2&amp;" - "&amp;D2&amp;" - "&amp;E2</calculatedColumnFormula>
    </tableColumn>
    <tableColumn id="4" xr3:uid="{24073715-5082-4111-9EFD-4CA7C4C1B89A}" name="Objetivo" dataDxfId="21"/>
    <tableColumn id="5" xr3:uid="{00A9A83B-09B2-4826-AE69-FA6BE59DFA40}" name="Blend Project Type" dataDxfId="20"/>
    <tableColumn id="6" xr3:uid="{5BAA61DD-B097-4093-B938-6E204B1AFCE7}" name="Sigla" dataDxfId="19"/>
    <tableColumn id="7" xr3:uid="{53B673E9-9ED6-48BA-A1A6-13502191A7E5}" name="Type Project" dataDxfId="18"/>
    <tableColumn id="8" xr3:uid="{305C8720-DD02-474B-8D5B-030C4AE9EBDE}" name="Client Name" dataDxfId="17">
      <calculatedColumnFormula>_xlfn.IFNA(VLOOKUP(F2,clientes!A:B,2,FALSE()),"--")</calculatedColumnFormula>
    </tableColumn>
    <tableColumn id="9" xr3:uid="{8FAAC265-AF55-41F3-9B71-C59405F83588}" name="Status" dataDxfId="16"/>
    <tableColumn id="10" xr3:uid="{DC0E7217-DB14-407F-BDF9-8C01F7EA3333}" name="Folder Legal" dataDxfId="15"/>
    <tableColumn id="11" xr3:uid="{264BCAA7-AFA6-4897-A686-A27C664EFE49}" name="Foldel Project Admin" dataDxfId="14"/>
    <tableColumn id="12" xr3:uid="{2D3C01F8-76ED-4412-AB3D-723F36939426}" name="Project Manager" dataDxfId="13"/>
    <tableColumn id="13" xr3:uid="{AC46F0FA-1324-41B9-BEDE-BE8CC283011E}" name="Account Manager" dataDxfId="12"/>
    <tableColumn id="14" xr3:uid="{3448E307-7601-4313-BB97-7D65119DAA61}" name="Technical Leader" dataDxfId="11"/>
    <tableColumn id="15" xr3:uid="{D463A92F-BB76-488E-9A84-53515F1BCAE9}" name="Sr Tech" dataDxfId="10"/>
    <tableColumn id="16" xr3:uid="{0681822B-C8A4-4435-8A51-0033A2D941F2}" name="Contract Type" dataDxfId="9"/>
    <tableColumn id="17" xr3:uid="{3B43F09C-0CB7-40AE-9C65-2ECA10348DD2}" name="Support Engineer" dataDxfId="8"/>
    <tableColumn id="18" xr3:uid="{BE6586CC-3EE2-44A7-BA05-15450F80CB46}" name="NetSuite" dataDxfId="7"/>
    <tableColumn id="19" xr3:uid="{EE277572-7858-4238-8F52-44DB555BFF1A}" name="Team" dataDxfId="6"/>
    <tableColumn id="20" xr3:uid="{5C09C30A-C11A-4084-9EE9-04F2B0E61946}" name="Tipo de contrato " dataDxfId="5"/>
    <tableColumn id="21" xr3:uid="{88C84E59-E6FF-4A1D-86A6-C847FD1F8607}" name="Contrato" dataDxfId="4"/>
    <tableColumn id="22" xr3:uid="{345C498C-E77C-4CC9-B645-CFB324BB0725}" name="CET" dataDxfId="3"/>
    <tableColumn id="23" xr3:uid="{9D68DD32-04BA-4824-83B9-98154581865C}" name="Ficha tecnica" dataDxfId="2"/>
    <tableColumn id="24" xr3:uid="{D208E706-DCB1-40D1-963D-DD4BCFD320AE}" name="Legal" dataDxfId="1"/>
    <tableColumn id="25" xr3:uid="{29A9967B-A7D9-48F1-9D83-C0E84C059B44}" name="Columna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Y66" dT="2026-04-06T04:42:21.26" personId="{A1E37011-9D46-4596-9D16-BA63D5CEEB22}" id="{D0895C1A-BEB3-4BF0-80FD-6771A93DBD64}">
    <text xml:space="preserve">No hay PPT
</text>
  </threadedComment>
  <threadedComment ref="Y87" dT="2026-04-06T04:42:21.26" personId="{A1E37011-9D46-4596-9D16-BA63D5CEEB22}" id="{B2A46930-CDDB-463D-90E4-BC0B858980BE}">
    <text xml:space="preserve">No hay PPT
</text>
  </threadedComment>
  <threadedComment ref="R131" dT="2025-06-04T14:43:01.78" personId="{615855C0-4B50-496D-9CAE-EFAC47BB1AB9}" id="{8CED6A70-9F84-4CFE-948C-1AEDA1CA2C41}">
    <text>@Juan Fernando Garcia FYI, cargados manuales, no estaban relacionados</text>
    <mentions>
      <mention mentionpersonId="{72D2B4BB-CA04-4491-86E6-B7C981D13E43}" mentionId="{93183A4C-F590-4165-B4F6-67FB4623BA64}" startIndex="0" length="21"/>
    </mentions>
  </threadedComment>
  <threadedComment ref="W131" dT="2026-04-06T04:34:04.95" personId="{A1E37011-9D46-4596-9D16-BA63D5CEEB22}" id="{9CA40DC5-4044-419A-B214-C9640A82334A}">
    <text>Carpeta sin documentos</text>
  </threadedComment>
  <threadedComment ref="Y131" dT="2026-04-06T04:35:00.31" personId="{A1E37011-9D46-4596-9D16-BA63D5CEEB22}" id="{8DA8DF85-9583-4831-A3A0-315E3AA2CC8C}">
    <text>Carpeta sin documentos</text>
  </threadedComment>
  <threadedComment ref="Z131" dT="2026-04-06T04:36:21.00" personId="{A1E37011-9D46-4596-9D16-BA63D5CEEB22}" id="{65378851-8947-47E9-9DC1-1D683A60F409}">
    <text xml:space="preserve">Sin Actas
</text>
  </threadedComment>
  <threadedComment ref="W132" dT="2026-04-06T04:36:21.00" personId="{A1E37011-9D46-4596-9D16-BA63D5CEEB22}" id="{E38A1CAF-B00E-4CFA-9F68-C42373887BA7}">
    <text xml:space="preserve">Sin Actas
</text>
  </threadedComment>
  <threadedComment ref="Y132" dT="2026-04-06T04:35:00.31" personId="{A1E37011-9D46-4596-9D16-BA63D5CEEB22}" id="{54DB1B8D-38BE-4B4E-B244-F6591A7197F5}">
    <text>Carpeta sin documentos</text>
  </threadedComment>
  <threadedComment ref="Z132" dT="2026-04-06T04:36:21.00" personId="{A1E37011-9D46-4596-9D16-BA63D5CEEB22}" id="{6B641091-B1D6-4B89-BB6E-3CD941CA285C}">
    <text xml:space="preserve">Sin Actas
</text>
  </threadedComment>
  <threadedComment ref="W133" dT="2026-04-06T04:36:21.00" personId="{A1E37011-9D46-4596-9D16-BA63D5CEEB22}" id="{FAA1F506-DB57-4CCE-ADD2-2417D31A5BA4}">
    <text xml:space="preserve">Sin Actas
</text>
  </threadedComment>
  <threadedComment ref="Y133" dT="2026-04-06T04:35:00.31" personId="{A1E37011-9D46-4596-9D16-BA63D5CEEB22}" id="{43546351-F999-43F4-93B8-BBB2613965CC}">
    <text>Carpeta sin documentos</text>
  </threadedComment>
  <threadedComment ref="Z133" dT="2026-04-06T04:36:21.00" personId="{A1E37011-9D46-4596-9D16-BA63D5CEEB22}" id="{CB59665E-CBEE-4E0A-80E1-73B42278A9E2}">
    <text xml:space="preserve">Sin Actas
</text>
  </threadedComment>
  <threadedComment ref="Z185" dT="2026-04-06T04:49:10.54" personId="{A1E37011-9D46-4596-9D16-BA63D5CEEB22}" id="{1A9DB778-A74E-4D95-BD77-DD1C0219DDD7}">
    <text xml:space="preserve">Carpeta vacía
</text>
  </threadedComment>
  <threadedComment ref="Z186" dT="2026-04-06T04:49:10.54" personId="{A1E37011-9D46-4596-9D16-BA63D5CEEB22}" id="{12220A6F-31BA-4E63-B157-F2CF45337F83}">
    <text xml:space="preserve">Carpeta vacía
</text>
  </threadedComment>
  <threadedComment ref="Z187" dT="2026-04-06T04:49:10.54" personId="{A1E37011-9D46-4596-9D16-BA63D5CEEB22}" id="{454ACAD7-12CD-40F6-B479-7924A6A3ED90}">
    <text xml:space="preserve">Carpeta vacía
</text>
  </threadedComment>
  <threadedComment ref="Z188" dT="2026-04-06T04:49:10.54" personId="{A1E37011-9D46-4596-9D16-BA63D5CEEB22}" id="{371638AC-6DE7-4964-B9A9-99D290CFF2E0}">
    <text xml:space="preserve">Carpeta vacía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32" dT="2025-06-04T14:43:01.78" personId="{615855C0-4B50-496D-9CAE-EFAC47BB1AB9}" id="{824F9798-5DB7-4BAB-B648-76B782FF900F}">
    <text>@Juan Fernando Garcia FYI, cargados manuales, no estaban relacionados</text>
    <mentions>
      <mention mentionpersonId="{72D2B4BB-CA04-4491-86E6-B7C981D13E43}" mentionId="{60458FEB-6C64-45F9-BD5A-3873DABEE099}" startIndex="0" length="21"/>
    </mentions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8B7C87A-76DB-4F2A-8B55-975B55CFDA37}">
  <we:reference id="WA200009404" version="1.0.0.8" store="es-es" storeType="omex"/>
  <we:alternateReferences>
    <we:reference id="WA200009404" version="1.0.0.8" store="es-es" storeType="omex"/>
  </we:alternateReferences>
  <we:properties>
    <we:property name="claude.fileId" value="&quot;00c7baa2-bfc5-40dc-8946-c897dfdf2a99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karen.arandia@nuvu.cc" TargetMode="External"/><Relationship Id="rId671" Type="http://schemas.openxmlformats.org/officeDocument/2006/relationships/hyperlink" Target="mailto:karen.arandia@nuvu.cc" TargetMode="External"/><Relationship Id="rId21" Type="http://schemas.openxmlformats.org/officeDocument/2006/relationships/hyperlink" Target="https://drive.google.com/file/d/16eArFD4NeqV0sWlacWFskdCqM5_jPXKC/view?usp=drive_link" TargetMode="External"/><Relationship Id="rId324" Type="http://schemas.openxmlformats.org/officeDocument/2006/relationships/hyperlink" Target="mailto:nicolas.revollo@blend360.com" TargetMode="External"/><Relationship Id="rId531" Type="http://schemas.openxmlformats.org/officeDocument/2006/relationships/hyperlink" Target="mailto:carlos.sierra@blend360.com" TargetMode="External"/><Relationship Id="rId629" Type="http://schemas.openxmlformats.org/officeDocument/2006/relationships/hyperlink" Target="https://wgcp.sharepoint.com/:b:/s/NUVU-Proyectos/IQCOjR1TlxgXRIKacgMieZNLAbFK799LmSHxwzdhvXRRlOs?e=ocf5tn" TargetMode="External"/><Relationship Id="rId170" Type="http://schemas.openxmlformats.org/officeDocument/2006/relationships/hyperlink" Target="mailto:marcela.sanchez@blend360.com" TargetMode="External"/><Relationship Id="rId268" Type="http://schemas.openxmlformats.org/officeDocument/2006/relationships/hyperlink" Target="../../NUVU-Proyectos/Shared%20Documents/Forms/AllItems.aspx?id=%2Fsites%2FNUVU%2DProyectos%2FShared%20Documents%2FU%2FUniversidad%20Nacional&amp;sortField=LinkFilename&amp;isAscending=true&amp;viewid=1dd39751%2D8a05%2D4043%2D9a9c%2D470bed0d9f3c&amp;CT=1747430562325&amp;OR=OWA%2DNT%2DMail&amp;CID=e9f8afa4%2Ddaa0%2Daa3d%2D3c26%2Daceec7c7ca03" TargetMode="External"/><Relationship Id="rId475" Type="http://schemas.openxmlformats.org/officeDocument/2006/relationships/hyperlink" Target="../../../:f:/s/NUVU-Comercial/IgBzrlFZBtk_R715Vsc9VWqhARFhnggBfmCZXynw-G923UU?e=JaElOq" TargetMode="External"/><Relationship Id="rId682" Type="http://schemas.openxmlformats.org/officeDocument/2006/relationships/hyperlink" Target="../../../../../:w:/s/NUVU-Proyectos/IQD8s5ktUNikRLk4GMo49Km0AekiRfos7HYCOsyepuW6dgA?e=RFtJov" TargetMode="External"/><Relationship Id="rId32" Type="http://schemas.openxmlformats.org/officeDocument/2006/relationships/hyperlink" Target="https://drive.google.com/drive/folders/1S6F4S4Z3RYSYXE5GL-pnR23zYwHbeLJJ" TargetMode="External"/><Relationship Id="rId128" Type="http://schemas.openxmlformats.org/officeDocument/2006/relationships/hyperlink" Target="mailto:alejandra.gomez@blend360.com" TargetMode="External"/><Relationship Id="rId335" Type="http://schemas.openxmlformats.org/officeDocument/2006/relationships/hyperlink" Target="mailto:carolina.aleman@blend360.com" TargetMode="External"/><Relationship Id="rId542" Type="http://schemas.openxmlformats.org/officeDocument/2006/relationships/hyperlink" Target="https://drive.google.com/drive/folders/1UNcH56qEzA3glUcZdKySM8FFMjZhJbDM" TargetMode="External"/><Relationship Id="rId181" Type="http://schemas.openxmlformats.org/officeDocument/2006/relationships/hyperlink" Target="https://drive.google.com/drive/folders/1S6F4S4Z3RYSYXE5GL-pnR23zYwHbeLJJ" TargetMode="External"/><Relationship Id="rId402" Type="http://schemas.openxmlformats.org/officeDocument/2006/relationships/hyperlink" Target="../../NUVU-Proyectos/Shared%20Documents/Forms/AllItems.aspx?id=%2Fsites%2FNUVU%2DProyectos%2FShared%20Documents%2FU%2FUniversidad%20Nacional%2FOSES%202025%2F%5BP0304%5D%20Editorial%20de%20UNAL%2F00%2E%20Administrativos&amp;viewid=1dd39751%2D8a05%2D4043%2D9a9c%2D470bed0d9f3c" TargetMode="External"/><Relationship Id="rId279" Type="http://schemas.openxmlformats.org/officeDocument/2006/relationships/hyperlink" Target="mailto:marcela.sanchez@blend360.com" TargetMode="External"/><Relationship Id="rId486" Type="http://schemas.openxmlformats.org/officeDocument/2006/relationships/hyperlink" Target="mailto:alejandra.gomez@blend360.com" TargetMode="External"/><Relationship Id="rId43" Type="http://schemas.openxmlformats.org/officeDocument/2006/relationships/hyperlink" Target="mailto:alejandra.gomez@blend360.com" TargetMode="External"/><Relationship Id="rId139" Type="http://schemas.openxmlformats.org/officeDocument/2006/relationships/hyperlink" Target="mailto:nicolas.revollo@blend360.com" TargetMode="External"/><Relationship Id="rId346" Type="http://schemas.openxmlformats.org/officeDocument/2006/relationships/hyperlink" Target="mailto:alejandra.gomez@blend360.com" TargetMode="External"/><Relationship Id="rId553" Type="http://schemas.openxmlformats.org/officeDocument/2006/relationships/hyperlink" Target="mailto:carolina.aleman@blend360.com" TargetMode="External"/><Relationship Id="rId192" Type="http://schemas.openxmlformats.org/officeDocument/2006/relationships/hyperlink" Target="mailto:karen.arandia@nuvu.cc" TargetMode="External"/><Relationship Id="rId206" Type="http://schemas.openxmlformats.org/officeDocument/2006/relationships/hyperlink" Target="mailto:karen.arandia@nuvu.cc" TargetMode="External"/><Relationship Id="rId413" Type="http://schemas.openxmlformats.org/officeDocument/2006/relationships/hyperlink" Target="../../NUVU-Proyectos/Shared%20Documents/Forms/AllItems.aspx?id=%2Fsites%2FNUVU%2DProyectos%2FShared%20Documents%2FU%2FUniversidad%20Nacional%2FOSES%202025%2F%5BP0350%5D%20Facultad%20Derecho%20Concurso%20de%20M%C3%A9ritos%2F00%2E%20Administrativos&amp;newTargetListUrl=%2Fsites%2FNUVU%2DProyectos%2FShared%20Documents&amp;viewpath=%2Fsites%2FNUVU%2DProyectos%2FShared%20Documents%2FForms%2FAllItems%2Easpx" TargetMode="External"/><Relationship Id="rId497" Type="http://schemas.openxmlformats.org/officeDocument/2006/relationships/hyperlink" Target="../../../:f:/s/NUVU-Proyectos/IgBKmKbEXdH-TaVySCy8Bx4TAVmHlB0sDBh8G_KMvPkm-fs?e=PCAtkJ" TargetMode="External"/><Relationship Id="rId620" Type="http://schemas.openxmlformats.org/officeDocument/2006/relationships/hyperlink" Target="mailto:daniela.munoz@blend360.com" TargetMode="External"/><Relationship Id="rId357" Type="http://schemas.openxmlformats.org/officeDocument/2006/relationships/hyperlink" Target="../../../:f:/s/NUVU-Proyectos/Ei9M587w-jdMtM8LCqlbNI0BCcmVLPz51nTL0AlciKRu-A?e=5QpWoj" TargetMode="External"/><Relationship Id="rId54" Type="http://schemas.openxmlformats.org/officeDocument/2006/relationships/hyperlink" Target="mailto:alejandra.gomez@blend360.com" TargetMode="External"/><Relationship Id="rId217" Type="http://schemas.openxmlformats.org/officeDocument/2006/relationships/hyperlink" Target="mailto:ciliana.capera@blend360.com" TargetMode="External"/><Relationship Id="rId564" Type="http://schemas.openxmlformats.org/officeDocument/2006/relationships/hyperlink" Target="mailto:juan.bernal@blend360.com" TargetMode="External"/><Relationship Id="rId424" Type="http://schemas.openxmlformats.org/officeDocument/2006/relationships/hyperlink" Target="../../NUVU-Proyectos/Shared%20Documents/Forms/AllItems.aspx?id=%2Fsites%2FNUVU%2DProyectos%2FShared%20Documents%2FU%2FUniversidad%20Nacional%2FOSES%202025%2F%5BP0373%5D%20UNA%20OSE%203%20Secretar%C3%ADa%20General%2F00%2E%20Administrativos&amp;viewid=1dd39751%2D8a05%2D4043%2D9a9c%2D470bed0d9f3c&amp;newTargetListUrl=%2Fsites%2FNUVU%2DProyectos%2FShared%20Documents&amp;viewpath=%2Fsites%2FNUVU%2DProyectos%2FShared%20Documents%2FForms%2FAllItems%2Easpx" TargetMode="External"/><Relationship Id="rId631" Type="http://schemas.openxmlformats.org/officeDocument/2006/relationships/hyperlink" Target="../../../:f:/s/NUVU-Proyectos/IgBHWzYsRgQ7R7b6odXGlN1aAbjBBSPtzlSMh-CIlqGyC7g?e=oR73LN" TargetMode="External"/><Relationship Id="rId270" Type="http://schemas.openxmlformats.org/officeDocument/2006/relationships/hyperlink" Target="mailto:alejandra.gomez@blend360.com" TargetMode="External"/><Relationship Id="rId65" Type="http://schemas.openxmlformats.org/officeDocument/2006/relationships/hyperlink" Target="mailto:nicolas.revollo@blend360.com" TargetMode="External"/><Relationship Id="rId130" Type="http://schemas.openxmlformats.org/officeDocument/2006/relationships/hyperlink" Target="../../NUVU-Comercial/Shared%20Documents/Forms/AllItems.aspx?id=%2Fsites%2FNUVU%2DComercial%2FShared%20Documents%2FU%2FUniversidad%20Nacional%20de%20Colombia%2F2025%2F01%2E%20Acuerdo%20Marco%2FAcuerdo%20y%20Adiciones%2FOSES%2FAdmisiones%2FVigencia%202025&amp;p=true&amp;CT=1745948089654&amp;OR=OWA%2DNT%2DMail&amp;CID=90e30285%2De5da%2D16c0%2D02eb%2D47d1b66bc463&amp;ga=1" TargetMode="External"/><Relationship Id="rId368" Type="http://schemas.openxmlformats.org/officeDocument/2006/relationships/hyperlink" Target="../../../:f:/s/NUVU-Proyectos/EkdbNixGBDtHtvqh1caU3VoB1bCkVnQr2AWWtKe3WST_gg?e=yGIcRa" TargetMode="External"/><Relationship Id="rId575" Type="http://schemas.openxmlformats.org/officeDocument/2006/relationships/hyperlink" Target="mailto:juan.bernal@blend360.com" TargetMode="External"/><Relationship Id="rId228" Type="http://schemas.openxmlformats.org/officeDocument/2006/relationships/hyperlink" Target="mailto:juan.bernal@blend360.com" TargetMode="External"/><Relationship Id="rId435" Type="http://schemas.openxmlformats.org/officeDocument/2006/relationships/hyperlink" Target="../../../:f:/s/NUVU-Proyectos/EtrXyr-pswRGkuo69OJZmrcBhlhRprp0kzeYaY7HTr3hxw?e=qiRUjY" TargetMode="External"/><Relationship Id="rId642" Type="http://schemas.openxmlformats.org/officeDocument/2006/relationships/hyperlink" Target="../../NUVU-Proyectos/Shared%20Documents/Forms/AllItems.aspx?id=%2Fsites%2FNUVU%2DProyectos%2FShared%20Documents%2FF%2FFondo%20Adaptaci%C3%B3n%2F%5BP2032%5D%20FOA%20%2D%20Evoluci%C3%B3n%20Integral%20Mojana&amp;viewid=1dd39751%2D8a05%2D4043%2D9a9c%2D470bed0d9f3c&amp;newTargetListUrl=%2Fsites%2FNUVU%2DProyectos%2FShared%20Documents&amp;viewpath=%2Fsites%2FNUVU%2DProyectos%2FShared%20Documents%2FForms%2FAllItems%2Easpx&amp;view=7&amp;q=comite" TargetMode="External"/><Relationship Id="rId281" Type="http://schemas.openxmlformats.org/officeDocument/2006/relationships/hyperlink" Target="mailto:nicolas.revollo@blend360.com" TargetMode="External"/><Relationship Id="rId502" Type="http://schemas.openxmlformats.org/officeDocument/2006/relationships/hyperlink" Target="mailto:carlos.sierra@blend360.com" TargetMode="External"/><Relationship Id="rId76" Type="http://schemas.openxmlformats.org/officeDocument/2006/relationships/hyperlink" Target="mailto:alejandra.gomez@blend360.com" TargetMode="External"/><Relationship Id="rId141" Type="http://schemas.openxmlformats.org/officeDocument/2006/relationships/hyperlink" Target="mailto:alejandra.gomez@blend360.com" TargetMode="External"/><Relationship Id="rId379" Type="http://schemas.openxmlformats.org/officeDocument/2006/relationships/hyperlink" Target="../../../:f:/s/NUVU-Proyectos/EiCnNFJ67bROuHakFCO5me4BgfAJNoFp2flEdCRaL8qwEA?e=DXfqTj" TargetMode="External"/><Relationship Id="rId586" Type="http://schemas.openxmlformats.org/officeDocument/2006/relationships/hyperlink" Target="https://wgcp.sharepoint.com/:b:/s/NUVU-Proyectos/IQC01iv30o1cQKNN4ZwjJ7n1AasLMGxE8NB64BWpHAPOi98?e=ILmCKf" TargetMode="External"/><Relationship Id="rId7" Type="http://schemas.openxmlformats.org/officeDocument/2006/relationships/hyperlink" Target="https://drive.google.com/drive/folders/1fnWc5crihol-5gQFbgN1sE8Ac9dgusol" TargetMode="External"/><Relationship Id="rId239" Type="http://schemas.openxmlformats.org/officeDocument/2006/relationships/hyperlink" Target="../../NUVU-Proyectos/Shared%20Documents/Forms/AllItems.aspx?id=%2Fsites%2FNUVU%2DProyectos%2FShared%20Documents%2FP%2FPolic%C3%ADa%20Nacional%2F2025%2F%5BP0347%5D%20%2D%20PON%20%2D%20IAPOL%2DG%20%2D%20IA%20Generativa&amp;viewid=1dd39751%2D8a05%2D4043%2D9a9c%2D470bed0d9f3c" TargetMode="External"/><Relationship Id="rId446" Type="http://schemas.openxmlformats.org/officeDocument/2006/relationships/hyperlink" Target="../../NUVU-Comercial/Shared%20Documents/Forms/AllItems.aspx?id=%2Fsites%2FNUVU%2DComercial%2FShared%20Documents%2FI%2FICFES%20%2D%20Instituto%20Colombiano%20para%20la%20Evaluaci%C3%B3n%20de%20la%20Educaci%C3%B3n%2F2025%2FBanco%20de%20Items%2FV2%20%28sin%20buscador%29&amp;viewid=1dd39751%2D8a05%2D4043%2D9a9c%2D470bed0d9f3c&amp;newTargetListUrl=%2Fsites%2FNUVU%2DComercial%2FShared%20Documents&amp;viewpath=%2Fsites%2FNUVU%2DComercial%2FShared%20Documents%2FForms%2FAllItems%2Easpx" TargetMode="External"/><Relationship Id="rId653" Type="http://schemas.openxmlformats.org/officeDocument/2006/relationships/hyperlink" Target="https://wgcp.sharepoint.com/:x:/s/NUVU-Proyectos/IQC2FBOjehdDSJGNFnAA--XuASKcvG4z232Av5OSqQnCQeQ?e=7EdmvJ" TargetMode="External"/><Relationship Id="rId292" Type="http://schemas.openxmlformats.org/officeDocument/2006/relationships/hyperlink" Target="https://drive.google.com/drive/folders/1X4iELvATSIXxv9fAYa9XJVZ8gAnjLE8l" TargetMode="External"/><Relationship Id="rId306" Type="http://schemas.openxmlformats.org/officeDocument/2006/relationships/hyperlink" Target="mailto:moises.rojas@blend360.com" TargetMode="External"/><Relationship Id="rId87" Type="http://schemas.openxmlformats.org/officeDocument/2006/relationships/hyperlink" Target="mailto:marcela.sanchez@blend360.com" TargetMode="External"/><Relationship Id="rId513" Type="http://schemas.openxmlformats.org/officeDocument/2006/relationships/hyperlink" Target="mailto:carlos.sierra@blend360.com" TargetMode="External"/><Relationship Id="rId597" Type="http://schemas.openxmlformats.org/officeDocument/2006/relationships/hyperlink" Target="../../../:f:/s/NUVU-Proyectos/IgAtAvyh6X1mSKPlTHfXRrIhAWuhTdkrUwKHWdKECHHj1oI?e=VBOJUv" TargetMode="External"/><Relationship Id="rId152" Type="http://schemas.openxmlformats.org/officeDocument/2006/relationships/hyperlink" Target="mailto:alejandra.gomez@blend360.com" TargetMode="External"/><Relationship Id="rId457" Type="http://schemas.openxmlformats.org/officeDocument/2006/relationships/hyperlink" Target="../../NUVU-Proyectos/Shared%20Documents/Forms/AllItems.aspx?id=%2Fsites%2FNUVU%2DProyectos%2FShared%20Documents%2FU%2FUniversidad%20Nacional%2F%5BP0387%5D%20CO%2D%20Universidad%20Nacional%20%2D%20Fortinet&amp;viewid=1dd39751%2D8a05%2D4043%2D9a9c%2D470bed0d9f3c&amp;newTargetListUrl=%2Fsites%2FNUVU%2DProyectos%2FShared%20Documents&amp;viewpath=%2Fsites%2FNUVU%2DProyectos%2FShared%20Documents%2FForms%2FAllItems%2Easpx" TargetMode="External"/><Relationship Id="rId664" Type="http://schemas.openxmlformats.org/officeDocument/2006/relationships/hyperlink" Target="../../../:f:/s/NUVU-Proyectos/IgCz1A_60sr9Qr16GZWjCeG-ASWroxd_Mvdwy1aoGujzkm4?e=oofD26" TargetMode="External"/><Relationship Id="rId14" Type="http://schemas.openxmlformats.org/officeDocument/2006/relationships/hyperlink" Target="https://drive.google.com/drive/folders/1X4iELvATSIXxv9fAYa9XJVZ8gAnjLE8l" TargetMode="External"/><Relationship Id="rId317" Type="http://schemas.openxmlformats.org/officeDocument/2006/relationships/hyperlink" Target="https://drive.google.com/drive/folders/16SAZSrznaM2MTPbdi5HRcOIhH0scT5r8" TargetMode="External"/><Relationship Id="rId524" Type="http://schemas.openxmlformats.org/officeDocument/2006/relationships/hyperlink" Target="mailto:carlos.sierra@blend360.com" TargetMode="External"/><Relationship Id="rId98" Type="http://schemas.openxmlformats.org/officeDocument/2006/relationships/hyperlink" Target="mailto:karen.arandia@nuvu.cc" TargetMode="External"/><Relationship Id="rId163" Type="http://schemas.openxmlformats.org/officeDocument/2006/relationships/hyperlink" Target="mailto:alejandra.gomez@blend360.com" TargetMode="External"/><Relationship Id="rId370" Type="http://schemas.openxmlformats.org/officeDocument/2006/relationships/hyperlink" Target="../../../:f:/s/NUVU-Proyectos/EkUx4UXQQF9Gmbgqp99OYCEBqiVIYCBOlTO90Rroq8ZAEA?e=m57kbk" TargetMode="External"/><Relationship Id="rId230" Type="http://schemas.openxmlformats.org/officeDocument/2006/relationships/hyperlink" Target="mailto:moises.rojas@blend360.com" TargetMode="External"/><Relationship Id="rId468" Type="http://schemas.openxmlformats.org/officeDocument/2006/relationships/hyperlink" Target="../../NUVU-Proyectos/Shared%20Documents/Forms/AllItems.aspx?id=%2Fsites%2FNUVU%2DProyectos%2FShared%20Documents%2FU%2FUniversidad%20Nacional%2FOSES%202025%2F%5BP0355%5D%20Dinara%2F00%2E%20Administrativos&amp;viewid=1dd39751%2D8a05%2D4043%2D9a9c%2D470bed0d9f3c&amp;newTargetListUrl=%2Fsites%2FNUVU%2DProyectos%2FShared%20Documents&amp;viewpath=%2Fsites%2FNUVU%2DProyectos%2FShared%20Documents%2FForms%2FAllItems%2Easpx" TargetMode="External"/><Relationship Id="rId675" Type="http://schemas.openxmlformats.org/officeDocument/2006/relationships/hyperlink" Target="../../../:f:/s/NUVU-Proyectos/IgDqPk-_ENuKR43HDWafcio5AYjazmZ6DSkWPff0-TgbYf4?e=WhnpSF" TargetMode="External"/><Relationship Id="rId25" Type="http://schemas.openxmlformats.org/officeDocument/2006/relationships/hyperlink" Target="https://drive.google.com/drive/u/0/folders/1cVn5OV2MjbHmVK3tLqmarV5AQyJQ-w0C" TargetMode="External"/><Relationship Id="rId328" Type="http://schemas.openxmlformats.org/officeDocument/2006/relationships/hyperlink" Target="mailto:ciliana.capera@blend360.com" TargetMode="External"/><Relationship Id="rId535" Type="http://schemas.openxmlformats.org/officeDocument/2006/relationships/hyperlink" Target="mailto:carlos.sierra@blend360.com" TargetMode="External"/><Relationship Id="rId174" Type="http://schemas.openxmlformats.org/officeDocument/2006/relationships/hyperlink" Target="mailto:andres.barrantes@nuvu.cc" TargetMode="External"/><Relationship Id="rId381" Type="http://schemas.openxmlformats.org/officeDocument/2006/relationships/hyperlink" Target="../../../:f:/s/NUVU-Proyectos/EiWr1Td-njlKokzAyHhTpqMBFxRhCvD9tWugCvDEmAXnng?e=YYmWWz" TargetMode="External"/><Relationship Id="rId602" Type="http://schemas.openxmlformats.org/officeDocument/2006/relationships/hyperlink" Target="https://wgcp.sharepoint.com/:x:/s/NUVU-Proyectos/IQDn7IlRVbplT7URh6HRz5WgAbLpz7B2NSK980oXUVUdj-Q?e=j9fTan" TargetMode="External"/><Relationship Id="rId241" Type="http://schemas.openxmlformats.org/officeDocument/2006/relationships/hyperlink" Target="mailto:nicolas.revollo@blend360.com" TargetMode="External"/><Relationship Id="rId479" Type="http://schemas.openxmlformats.org/officeDocument/2006/relationships/hyperlink" Target="../../../:f:/s/NUVU-Proyectos/IgB0VMBRdKu-R6_ijOvi2iOMAXAjSG9P9RmyssH4yPcnqqE?e=2zHYT4" TargetMode="External"/><Relationship Id="rId686" Type="http://schemas.openxmlformats.org/officeDocument/2006/relationships/vmlDrawing" Target="../drawings/vmlDrawing1.vml"/><Relationship Id="rId36" Type="http://schemas.openxmlformats.org/officeDocument/2006/relationships/hyperlink" Target="mailto:karen.arandia@nuvu.cc" TargetMode="External"/><Relationship Id="rId339" Type="http://schemas.openxmlformats.org/officeDocument/2006/relationships/hyperlink" Target="https://drive.google.com/drive/folders/1S6F4S4Z3RYSYXE5GL-pnR23zYwHbeLJJ" TargetMode="External"/><Relationship Id="rId546" Type="http://schemas.openxmlformats.org/officeDocument/2006/relationships/hyperlink" Target="mailto:alejandra.gomez@blend360.com" TargetMode="External"/><Relationship Id="rId101" Type="http://schemas.openxmlformats.org/officeDocument/2006/relationships/hyperlink" Target="mailto:karen.arandia@nuvu.cc" TargetMode="External"/><Relationship Id="rId185" Type="http://schemas.openxmlformats.org/officeDocument/2006/relationships/hyperlink" Target="https://drive.google.com/drive/folders/1S6F4S4Z3RYSYXE5GL-pnR23zYwHbeLJJ" TargetMode="External"/><Relationship Id="rId406" Type="http://schemas.openxmlformats.org/officeDocument/2006/relationships/hyperlink" Target="../../NUVU-Proyectos/Shared%20Documents/Forms/AllItems.aspx?id=%2Fsites%2FNUVU%2DProyectos%2FShared%20Documents%2FU%2FUniversidad%20Nacional%2FOSES%202025%2F%5BP0336%5D%20UNA%20Gesti%C3%B3n%20de%20Informaci%C3%B3n%2F00%2E%20Administrativo&amp;viewid=1dd39751%2D8a05%2D4043%2D9a9c%2D470bed0d9f3c" TargetMode="External"/><Relationship Id="rId392" Type="http://schemas.openxmlformats.org/officeDocument/2006/relationships/hyperlink" Target="../../NUVU-Proyectos/Shared%20Documents/Forms/AllItems.aspx?id=%2Fsites%2FNUVU%2DProyectos%2FShared%20Documents%2FM%2FMintic%2F%5BP0316%5D%20MTI%20%2D%20Ciudades%20y%20territorios%20inteligentes%20Mintic%2F01%2E%20Documentaci%C3%B3n%20esencial%2F01%2E%20Habilitacion&amp;viewid=1dd39751%2D8a05%2D4043%2D9a9c%2D470bed0d9f3c" TargetMode="External"/><Relationship Id="rId613" Type="http://schemas.openxmlformats.org/officeDocument/2006/relationships/hyperlink" Target="mailto:marcela.sanchez@blend360.com" TargetMode="External"/><Relationship Id="rId252" Type="http://schemas.openxmlformats.org/officeDocument/2006/relationships/hyperlink" Target="mailto:nicolas.revollo@blend360.com" TargetMode="External"/><Relationship Id="rId47" Type="http://schemas.openxmlformats.org/officeDocument/2006/relationships/hyperlink" Target="mailto:alejandra.gomez@blend360.com" TargetMode="External"/><Relationship Id="rId112" Type="http://schemas.openxmlformats.org/officeDocument/2006/relationships/hyperlink" Target="mailto:juan.tinjaca@blend360.com" TargetMode="External"/><Relationship Id="rId557" Type="http://schemas.openxmlformats.org/officeDocument/2006/relationships/hyperlink" Target="../../../:f:/s/NUVU-Proyectos/IgAlBq7t1DExSrNqA-tEmWQuAYfLtdHjX61VqZkAWo-nToU?e=QaHUSV" TargetMode="External"/><Relationship Id="rId196" Type="http://schemas.openxmlformats.org/officeDocument/2006/relationships/hyperlink" Target="mailto:karen.arandia@nuvu.cc" TargetMode="External"/><Relationship Id="rId417" Type="http://schemas.openxmlformats.org/officeDocument/2006/relationships/hyperlink" Target="../../NUVU-Proyectos/Shared%20Documents/Forms/AllItems.aspx?id=%2Fsites%2FNUVU%2DProyectos%2FShared%20Documents%2FU%2FUniversidad%20Nacional%2FOSES%202025%2F%5BP0356%5D%20Facultad%20de%20Derecho%2F00%2E%20Administrativos&amp;viewid=1dd39751%2D8a05%2D4043%2D9a9c%2D470bed0d9f3c&amp;newTargetListUrl=%2Fsites%2FNUVU%2DProyectos%2FShared%20Documents&amp;viewpath=%2Fsites%2FNUVU%2DProyectos%2FShared%20Documents%2FForms%2FAllItems%2Easpx" TargetMode="External"/><Relationship Id="rId624" Type="http://schemas.openxmlformats.org/officeDocument/2006/relationships/hyperlink" Target="../../../:f:/s/NUVU-Proyectos/IgBHWzYsRgQ7R7b6odXGlN1aAbjBBSPtzlSMh-CIlqGyC7g?e=oR73LN" TargetMode="External"/><Relationship Id="rId263" Type="http://schemas.openxmlformats.org/officeDocument/2006/relationships/hyperlink" Target="mailto:karen.arandia@nuvu.cc" TargetMode="External"/><Relationship Id="rId470" Type="http://schemas.openxmlformats.org/officeDocument/2006/relationships/hyperlink" Target="../../NUVU-Comercial/Shared%20Documents/Forms/AllItems.aspx?id=%2Fsites%2FNUVU%2DComercial%2FShared%20Documents%2FU%2FUniversidad%20Nacional%20de%20Colombia%2F2025%2F01%2E%20Acuerdo%20Marco%2FAcuerdo%20y%20Adiciones%2FOSES%2FDivisi%C3%B3n%20Extensi%C3%B3n&amp;p=true&amp;CT=1745948383954&amp;OR=OWA%2DNT%2DMail&amp;CID=d414a553%2Dbfe1%2D99ba%2D35a5%2D68e74f7f74f3&amp;ga=1" TargetMode="External"/><Relationship Id="rId58" Type="http://schemas.openxmlformats.org/officeDocument/2006/relationships/hyperlink" Target="mailto:fernando.ortega@blend360.com" TargetMode="External"/><Relationship Id="rId123" Type="http://schemas.openxmlformats.org/officeDocument/2006/relationships/hyperlink" Target="mailto:marcela.sanchez@blend360.com" TargetMode="External"/><Relationship Id="rId330" Type="http://schemas.openxmlformats.org/officeDocument/2006/relationships/hyperlink" Target="https://drive.google.com/drive/u/0/folders/1MGBfD6Vh5uYbROYUHEcdv1tOwFqXfkxx" TargetMode="External"/><Relationship Id="rId568" Type="http://schemas.openxmlformats.org/officeDocument/2006/relationships/hyperlink" Target="mailto:juan.bernal@blend360.com" TargetMode="External"/><Relationship Id="rId428" Type="http://schemas.openxmlformats.org/officeDocument/2006/relationships/hyperlink" Target="../../../:f:/s/NUVU-Proyectos/EigIuz4hpPtBj5V2MDV5PfkBtehrrUqLaWUDWxC41UqE-A?e=zjWO8i" TargetMode="External"/><Relationship Id="rId635" Type="http://schemas.openxmlformats.org/officeDocument/2006/relationships/hyperlink" Target="../../../:f:/s/NUVU-Proyectos/IgA2Iy_o-U9_SbFWAwqNh0C9AUupumQKR6X1Kr0RSl2aMAo?e=HV3ZF2" TargetMode="External"/><Relationship Id="rId274" Type="http://schemas.openxmlformats.org/officeDocument/2006/relationships/hyperlink" Target="https://drive.google.com/drive/u/0/folders/1YzbrEvndEMrjKCjzwbzOxFfgee0BpVw2" TargetMode="External"/><Relationship Id="rId481" Type="http://schemas.openxmlformats.org/officeDocument/2006/relationships/hyperlink" Target="../../../:f:/s/NUVU-Proyectos/IgBkuHyE0GRvTaPHfuwcrbSbAeLKiKNVD_faqLYiTwO3wKQ?e=BdGqmM" TargetMode="External"/><Relationship Id="rId69" Type="http://schemas.openxmlformats.org/officeDocument/2006/relationships/hyperlink" Target="mailto:nicolas.revollo@blend360.com" TargetMode="External"/><Relationship Id="rId134" Type="http://schemas.openxmlformats.org/officeDocument/2006/relationships/hyperlink" Target="https://drive.google.com/drive/u/0/folders/1DR7V2szJKFTDWlCG49lgFe_CJ2NqeMbF" TargetMode="External"/><Relationship Id="rId579" Type="http://schemas.openxmlformats.org/officeDocument/2006/relationships/hyperlink" Target="mailto:juan.bernal@blend360.com" TargetMode="External"/><Relationship Id="rId341" Type="http://schemas.openxmlformats.org/officeDocument/2006/relationships/hyperlink" Target="mailto:moises.rojas@blend360.com" TargetMode="External"/><Relationship Id="rId439" Type="http://schemas.openxmlformats.org/officeDocument/2006/relationships/hyperlink" Target="../../../:f:/s/NUVU-Proyectos/IgB68qsaCLmSTrDbWkqZnqTyATfJueQdJLBQJMSDu3B8TqE?e=Q3pHjW" TargetMode="External"/><Relationship Id="rId646" Type="http://schemas.openxmlformats.org/officeDocument/2006/relationships/hyperlink" Target="../../../:f:/s/NUVU-Proyectos/IgBY4nyEppdCRrAggiSCMnonAQSkfsrzB_BSkB9FAqAZOqE?e=tdWBCE" TargetMode="External"/><Relationship Id="rId201" Type="http://schemas.openxmlformats.org/officeDocument/2006/relationships/hyperlink" Target="mailto:marcela.sanchez@blend360.com" TargetMode="External"/><Relationship Id="rId285" Type="http://schemas.openxmlformats.org/officeDocument/2006/relationships/hyperlink" Target="mailto:nicolas.revollo@blend360.com" TargetMode="External"/><Relationship Id="rId506" Type="http://schemas.openxmlformats.org/officeDocument/2006/relationships/hyperlink" Target="mailto:carlos.sierra@blend360.com" TargetMode="External"/><Relationship Id="rId492" Type="http://schemas.openxmlformats.org/officeDocument/2006/relationships/hyperlink" Target="../../../:f:/s/NUVU-Proyectos/En6SRDZPljZMm6Bf8FjWEYsBHMnGmGQW9m51yCMebHJKaw?e=BnddNS" TargetMode="External"/><Relationship Id="rId145" Type="http://schemas.openxmlformats.org/officeDocument/2006/relationships/hyperlink" Target="mailto:alejandra.gomez@blend360.com" TargetMode="External"/><Relationship Id="rId352" Type="http://schemas.openxmlformats.org/officeDocument/2006/relationships/hyperlink" Target="../../../:f:/s/NUVU-Proyectos/Epij0bfwdJRNoA4iX_z27eABDohxlvxCtvIQ_O5OW0dzTA?e=u3bvKV" TargetMode="External"/><Relationship Id="rId212" Type="http://schemas.openxmlformats.org/officeDocument/2006/relationships/hyperlink" Target="mailto:karen.arandia@nuvu.cc" TargetMode="External"/><Relationship Id="rId657" Type="http://schemas.openxmlformats.org/officeDocument/2006/relationships/hyperlink" Target="../../../:f:/s/NUVU-Proyectos/IgBrhPyX3-cbRI2_Ie_LQpfpARfry4MBgIsdqFO8_PEBUsY?e=FgJDl9" TargetMode="External"/><Relationship Id="rId49" Type="http://schemas.openxmlformats.org/officeDocument/2006/relationships/hyperlink" Target="mailto:alejandra.gomez@blend360.com" TargetMode="External"/><Relationship Id="rId114" Type="http://schemas.openxmlformats.org/officeDocument/2006/relationships/hyperlink" Target="mailto:karen.arandia@nuvu.cc" TargetMode="External"/><Relationship Id="rId296" Type="http://schemas.openxmlformats.org/officeDocument/2006/relationships/hyperlink" Target="mailto:juan.bernal@blend360.com" TargetMode="External"/><Relationship Id="rId461" Type="http://schemas.openxmlformats.org/officeDocument/2006/relationships/hyperlink" Target="../../NUVU-Proyectos/Shared%20Documents/Forms/AllItems.aspx?id=%2Fsites%2FNUVU%2DProyectos%2FShared%20Documents%2FU%2FUniversidad%20Nacional%2FOSES%202025%2F%5BP0356%5D%20Facultad%20de%20Derecho%2F00%2E%20Administrativos&amp;viewid=1dd39751%2D8a05%2D4043%2D9a9c%2D470bed0d9f3c&amp;newTargetListUrl=%2Fsites%2FNUVU%2DProyectos%2FShared%20Documents&amp;viewpath=%2Fsites%2FNUVU%2DProyectos%2FShared%20Documents%2FForms%2FAllItems%2Easpx" TargetMode="External"/><Relationship Id="rId517" Type="http://schemas.openxmlformats.org/officeDocument/2006/relationships/hyperlink" Target="mailto:carlos.sierra@blend360.com" TargetMode="External"/><Relationship Id="rId559" Type="http://schemas.openxmlformats.org/officeDocument/2006/relationships/hyperlink" Target="../../../:f:/s/NUVU-Proyectos/IgAlBq7t1DExSrNqA-tEmWQuAYfLtdHjX61VqZkAWo-nToU?e=QaHUSV" TargetMode="External"/><Relationship Id="rId60" Type="http://schemas.openxmlformats.org/officeDocument/2006/relationships/hyperlink" Target="mailto:alejandra.gomez@blend360.com" TargetMode="External"/><Relationship Id="rId156" Type="http://schemas.openxmlformats.org/officeDocument/2006/relationships/hyperlink" Target="https://drive.google.com/drive/folders/1gkCNndZy0GmWqWmlDN4A-bMntclADHib" TargetMode="External"/><Relationship Id="rId198" Type="http://schemas.openxmlformats.org/officeDocument/2006/relationships/hyperlink" Target="mailto:alejandra.gomez@blend360.com" TargetMode="External"/><Relationship Id="rId321" Type="http://schemas.openxmlformats.org/officeDocument/2006/relationships/hyperlink" Target="mailto:ciliana.capera@blend360.com" TargetMode="External"/><Relationship Id="rId363" Type="http://schemas.openxmlformats.org/officeDocument/2006/relationships/hyperlink" Target="../../../:f:/s/NUVU-Proyectos/EoCgS_u3-85FjOn2YqyVS0cB8sopM0KfNugvwFhaYz1e8g?e=IK06Yf" TargetMode="External"/><Relationship Id="rId419" Type="http://schemas.openxmlformats.org/officeDocument/2006/relationships/hyperlink" Target="../../NUVU-Proyectos/Shared%20Documents/Forms/AllItems.aspx?id=%2Fsites%2FNUVU%2DProyectos%2FShared%20Documents%2FU%2FUniversidad%20Nacional%2FOSES%202025%2F%5BP0360%5D%20Gesti%C3%B3n%20ambiental%2F00%2E%20Administrativos&amp;viewid=1dd39751%2D8a05%2D4043%2D9a9c%2D470bed0d9f3c&amp;newTargetListUrl=%2Fsites%2FNUVU%2DProyectos%2FShared%20Documents&amp;viewpath=%2Fsites%2FNUVU%2DProyectos%2FShared%20Documents%2FForms%2FAllItems%2Easpx" TargetMode="External"/><Relationship Id="rId570" Type="http://schemas.openxmlformats.org/officeDocument/2006/relationships/hyperlink" Target="mailto:juan.bernal@blend360.com" TargetMode="External"/><Relationship Id="rId626" Type="http://schemas.openxmlformats.org/officeDocument/2006/relationships/hyperlink" Target="https://wgcp.sharepoint.com/:b:/s/NUVU-Proyectos/IQCOjR1TlxgXRIKacgMieZNLAbFK799LmSHxwzdhvXRRlOs?e=ocf5tn" TargetMode="External"/><Relationship Id="rId223" Type="http://schemas.openxmlformats.org/officeDocument/2006/relationships/hyperlink" Target="mailto:karen.arandia@nuvu.cc" TargetMode="External"/><Relationship Id="rId430" Type="http://schemas.openxmlformats.org/officeDocument/2006/relationships/hyperlink" Target="../../../:b:/s/NUVU-Proyectos/ESkDD27ESSdGle5eFnDtJ48Bp_O_B_J-WKPkH-3pjpL82g?e=pHhc4Z" TargetMode="External"/><Relationship Id="rId668" Type="http://schemas.openxmlformats.org/officeDocument/2006/relationships/hyperlink" Target="../../../:f:/s/NUVU-Proyectos/IgD-faO9KoZASJ41xkZuuOrcAbzsy9W0mHX0_oTHesbEKh0?e=2Kub58" TargetMode="External"/><Relationship Id="rId18" Type="http://schemas.openxmlformats.org/officeDocument/2006/relationships/hyperlink" Target="https://drive.google.com/drive/u/0/folders/1rSSZmQyh1DVeJmAkh_48nvRCq0MMNwSD" TargetMode="External"/><Relationship Id="rId265" Type="http://schemas.openxmlformats.org/officeDocument/2006/relationships/hyperlink" Target="../../../:f:/r/sites/NUVU-Legal/Shared%20Documents/Gesti%C3%B3n%20Contractual/Contratos%20Clientes%20y%20Proveedores/Contratos%20Clientes/C/Coljuegos%20S.A?csf=1&amp;web=1&amp;e=dBSOh7" TargetMode="External"/><Relationship Id="rId472" Type="http://schemas.openxmlformats.org/officeDocument/2006/relationships/hyperlink" Target="../../../:f:/s/NUVU-Comercial/IgAZcoHJVCWgQbsHaxwFVBU_AeLRtKCDpDAiMuGkcStHcPE?e=UnAK1p" TargetMode="External"/><Relationship Id="rId528" Type="http://schemas.openxmlformats.org/officeDocument/2006/relationships/hyperlink" Target="mailto:carlos.sierra@blend360.com" TargetMode="External"/><Relationship Id="rId125" Type="http://schemas.openxmlformats.org/officeDocument/2006/relationships/hyperlink" Target="mailto:nicolas.revollo@blend360.com" TargetMode="External"/><Relationship Id="rId167" Type="http://schemas.openxmlformats.org/officeDocument/2006/relationships/hyperlink" Target="https://drive.google.com/drive/folders/1zZw5xbWNyOcUCUDlhfco4xaz6OZ7XdXe" TargetMode="External"/><Relationship Id="rId332" Type="http://schemas.openxmlformats.org/officeDocument/2006/relationships/hyperlink" Target="mailto:nicolas.revollo@blend360.com" TargetMode="External"/><Relationship Id="rId374" Type="http://schemas.openxmlformats.org/officeDocument/2006/relationships/hyperlink" Target="../../../:f:/s/NUVU-Proyectos/EtZkwtbPNh5Cj3NjXmYKJP8B2M_5ZjmaYI6FcWEcHUAu4w?e=ijrHfp" TargetMode="External"/><Relationship Id="rId581" Type="http://schemas.openxmlformats.org/officeDocument/2006/relationships/hyperlink" Target="mailto:juan.bernal@blend360.com" TargetMode="External"/><Relationship Id="rId71" Type="http://schemas.openxmlformats.org/officeDocument/2006/relationships/hyperlink" Target="mailto:nicolas.revollo@blend360.com" TargetMode="External"/><Relationship Id="rId234" Type="http://schemas.openxmlformats.org/officeDocument/2006/relationships/hyperlink" Target="mailto:juan.bernal@blend360.com" TargetMode="External"/><Relationship Id="rId637" Type="http://schemas.openxmlformats.org/officeDocument/2006/relationships/hyperlink" Target="../../../:f:/s/NUVU-Proyectos/IgA2Iy_o-U9_SbFWAwqNh0C9AUupumQKR6X1Kr0RSl2aMAo?e=HV3ZF2" TargetMode="External"/><Relationship Id="rId679" Type="http://schemas.openxmlformats.org/officeDocument/2006/relationships/hyperlink" Target="https://wgcp.sharepoint.com/:b:/s/NUVU-Proyectos/IQC7Roa2N0jGRbglGYzGq2lFAWOaP_3RXa0JngFfQJ8htYk?e=Ep0lSA" TargetMode="External"/><Relationship Id="rId2" Type="http://schemas.openxmlformats.org/officeDocument/2006/relationships/hyperlink" Target="https://drive.google.com/file/d/1mvloO27Zl5S4tZmg28CArRirbKHnvIbh/view?usp=sharing" TargetMode="External"/><Relationship Id="rId29" Type="http://schemas.openxmlformats.org/officeDocument/2006/relationships/hyperlink" Target="https://drive.google.com/drive/folders/1KlNKvfVvAwAmf04uh0MagbKrQz1pxNyO" TargetMode="External"/><Relationship Id="rId276" Type="http://schemas.openxmlformats.org/officeDocument/2006/relationships/hyperlink" Target="https://drive.google.com/drive/u/0/folders/1YzbrEvndEMrjKCjzwbzOxFfgee0BpVw2" TargetMode="External"/><Relationship Id="rId441" Type="http://schemas.openxmlformats.org/officeDocument/2006/relationships/hyperlink" Target="https://francisco.rosas@blend360.com/" TargetMode="External"/><Relationship Id="rId483" Type="http://schemas.openxmlformats.org/officeDocument/2006/relationships/hyperlink" Target="../../../:f:/s/NUVU-Legal/IgCM47sl4OKZQZXdgdJHSLOSAQOpWLsfn53MGNu6FlV6t1I?e=vEFqPi" TargetMode="External"/><Relationship Id="rId539" Type="http://schemas.openxmlformats.org/officeDocument/2006/relationships/hyperlink" Target="../../../:f:/s/NUVU-Proyectos/IgB68qsaCLmSTrDbWkqZnqTyATfJueQdJLBQJMSDu3B8TqE?e=Q3pHjW" TargetMode="External"/><Relationship Id="rId690" Type="http://schemas.microsoft.com/office/2019/04/relationships/namedSheetView" Target="../namedSheetViews/namedSheetView1.xml"/><Relationship Id="rId40" Type="http://schemas.openxmlformats.org/officeDocument/2006/relationships/hyperlink" Target="mailto:alejandra.gomez@blend360.com" TargetMode="External"/><Relationship Id="rId136" Type="http://schemas.openxmlformats.org/officeDocument/2006/relationships/hyperlink" Target="mailto:nicolas.revollo@blend360.com" TargetMode="External"/><Relationship Id="rId178" Type="http://schemas.openxmlformats.org/officeDocument/2006/relationships/hyperlink" Target="https://drive.google.com/drive/folders/16SAZSrznaM2MTPbdi5HRcOIhH0scT5r8" TargetMode="External"/><Relationship Id="rId301" Type="http://schemas.openxmlformats.org/officeDocument/2006/relationships/hyperlink" Target="mailto:juan.bernal@blend360.com" TargetMode="External"/><Relationship Id="rId343" Type="http://schemas.openxmlformats.org/officeDocument/2006/relationships/hyperlink" Target="mailto:alejandra.gomez@blend360.com" TargetMode="External"/><Relationship Id="rId550" Type="http://schemas.openxmlformats.org/officeDocument/2006/relationships/hyperlink" Target="mailto:marcela.sanchez@blend360.com" TargetMode="External"/><Relationship Id="rId82" Type="http://schemas.openxmlformats.org/officeDocument/2006/relationships/hyperlink" Target="mailto:karen.arandia@nuvu.cc" TargetMode="External"/><Relationship Id="rId203" Type="http://schemas.openxmlformats.org/officeDocument/2006/relationships/hyperlink" Target="mailto:juan.bernal@blend360.com" TargetMode="External"/><Relationship Id="rId385" Type="http://schemas.openxmlformats.org/officeDocument/2006/relationships/hyperlink" Target="../../../:f:/s/NUVU-Proyectos/Eld_-ym1ADVBmjaU9T-74OcBKJvKGzGbqoWZx7agDo61qQ?e=fBCVM1" TargetMode="External"/><Relationship Id="rId592" Type="http://schemas.openxmlformats.org/officeDocument/2006/relationships/hyperlink" Target="https://wgcp.sharepoint.com/:b:/s/NUVU-Proyectos/IQAspozvW_GiSJmNr2KQooczAZWsj59THoQ77Y-L_zMVgsM?e=XdnrCF" TargetMode="External"/><Relationship Id="rId606" Type="http://schemas.openxmlformats.org/officeDocument/2006/relationships/hyperlink" Target="../../../:f:/s/NUVU-Proyectos/IgAtAvyh6X1mSKPlTHfXRrIhAWuhTdkrUwKHWdKECHHj1oI?e=VBOJUv" TargetMode="External"/><Relationship Id="rId648" Type="http://schemas.openxmlformats.org/officeDocument/2006/relationships/hyperlink" Target="../../../:f:/s/NUVU-Proyectos/IgDtI3bo_u4FQIU-68o3nHimAfcWDaqXdzzCfvgtgG9UJKQ?e=hygw36" TargetMode="External"/><Relationship Id="rId245" Type="http://schemas.openxmlformats.org/officeDocument/2006/relationships/hyperlink" Target="../../../:f:/s/NUVU-Proyectos/EiEXLzT7-AdFsRFyKZgyLpgBM1u5HmDv2pJ1rTFcGASBiQ?e=Dh9deM" TargetMode="External"/><Relationship Id="rId287" Type="http://schemas.openxmlformats.org/officeDocument/2006/relationships/hyperlink" Target="mailto:nicolas.revollo@blend360.com" TargetMode="External"/><Relationship Id="rId410" Type="http://schemas.openxmlformats.org/officeDocument/2006/relationships/hyperlink" Target="../../NUVU-Proyectos/Shared%20Documents/Forms/AllItems.aspx?id=%2Fsites%2FNUVU%2DProyectos%2FShared%20Documents%2FU%2FUniversidad%20Nacional%2F7%2E%20%5BP0344%5D%20Quipu%20%2D%20Soporte%20y%20Mantenimiento%202025%2F00%20Administrativo&amp;newTargetListUrl=%2Fsites%2FNUVU%2DProyectos%2FShared%20Documents&amp;viewpath=%2Fsites%2FNUVU%2DProyectos%2FShared%20Documents%2FForms%2FAllItems%2Easpx" TargetMode="External"/><Relationship Id="rId452" Type="http://schemas.openxmlformats.org/officeDocument/2006/relationships/hyperlink" Target="../../NUVU-Comercial/Shared%20Documents/Forms/AllItems.aspx?id=%2Fsites%2FNUVU%2DComercial%2FShared%20Documents%2FI%2FICFES%20%2D%20Instituto%20Colombiano%20para%20la%20Evaluaci%C3%B3n%20de%20la%20Educaci%C3%B3n%2F2025%2FRenovaci%C3%B3n%20Datalake%202025%20Fase%202%2FArtefactos%20finales%20icfes%20Datalake%20Nov%202025%20%2D%20Ene%202026&amp;viewid=1dd39751%2D8a05%2D4043%2D9a9c%2D470bed0d9f3c&amp;newTargetListUrl=%2Fsites%2FNUVU%2DComercial%2FShared%20Documents&amp;viewpath=%2Fsites%2FNUVU%2DComercial%2FShared%20Documents%2FForms%2FAllItems%2Easpx" TargetMode="External"/><Relationship Id="rId494" Type="http://schemas.openxmlformats.org/officeDocument/2006/relationships/hyperlink" Target="mailto:alejandra.gomez@blend360.com" TargetMode="External"/><Relationship Id="rId508" Type="http://schemas.openxmlformats.org/officeDocument/2006/relationships/hyperlink" Target="mailto:carlos.sierra@blend360.com" TargetMode="External"/><Relationship Id="rId105" Type="http://schemas.openxmlformats.org/officeDocument/2006/relationships/hyperlink" Target="../../NUVU-Proyectos/Shared%20Documents/Forms/AllItems.aspx?id=%2Fsites%2FNUVU%2DProyectos%2FShared%20Documents%2FP%2FPolic%C3%ADa%20Nacional%2F2025%2F%5BP0347%5D%20%2D%20PON%20%2D%20IAPOL%2DG%20%2D%20IA%20Generativa&amp;viewid=1dd39751%2D8a05%2D4043%2D9a9c%2D470bed0d9f3c" TargetMode="External"/><Relationship Id="rId147" Type="http://schemas.openxmlformats.org/officeDocument/2006/relationships/hyperlink" Target="../../NUVU-Proyectos/Shared%20Documents/Forms/AllItems.aspx?id=%2Fsites%2FNUVU%2DProyectos%2FShared%20Documents%2FU%2FUniversidad%20Nacional&amp;sortField=LinkFilename&amp;isAscending=true&amp;viewid=1dd39751%2D8a05%2D4043%2D9a9c%2D470bed0d9f3c&amp;CT=1747430562325&amp;OR=OWA%2DNT%2DMail&amp;CID=e9f8afa4%2Ddaa0%2Daa3d%2D3c26%2Daceec7c7ca03" TargetMode="External"/><Relationship Id="rId312" Type="http://schemas.openxmlformats.org/officeDocument/2006/relationships/hyperlink" Target="mailto:moises.rojas@blend360.com" TargetMode="External"/><Relationship Id="rId354" Type="http://schemas.openxmlformats.org/officeDocument/2006/relationships/hyperlink" Target="../../../:f:/s/NUVU-Proyectos/ErSAg9EtVRdNp92YH_ZsVlEBuJZR255BHku3ic5j36VeQw?e=xeqnIz" TargetMode="External"/><Relationship Id="rId51" Type="http://schemas.openxmlformats.org/officeDocument/2006/relationships/hyperlink" Target="mailto:alejandra.gomez@blend360.com" TargetMode="External"/><Relationship Id="rId93" Type="http://schemas.openxmlformats.org/officeDocument/2006/relationships/hyperlink" Target="mailto:karen.arandia@nuvu.cc" TargetMode="External"/><Relationship Id="rId189" Type="http://schemas.openxmlformats.org/officeDocument/2006/relationships/hyperlink" Target="mailto:karen.arandia@nuvu.cc" TargetMode="External"/><Relationship Id="rId396" Type="http://schemas.openxmlformats.org/officeDocument/2006/relationships/hyperlink" Target="../../NUVU-Proyectos/Shared%20Documents/Forms/AllItems.aspx?id=%2Fsites%2FNUVU%2DProyectos%2FShared%20Documents%2FC%2FCAT%20%2D%20Catastro%20Distrital%2F%5BP2124%5D%20CAT%20%2D%20Agente%20Cognitivo%20e%20Infraestructura%20AWS%2F01%2E%20Documentaci%C3%B3n%20esencial%2F01%20%2D%20Habilitadores&amp;viewid=1dd39751%2D8a05%2D4043%2D9a9c%2D470bed0d9f3c" TargetMode="External"/><Relationship Id="rId561" Type="http://schemas.openxmlformats.org/officeDocument/2006/relationships/hyperlink" Target="../../../:f:/s/NUVU-Proyectos/IgAlBq7t1DExSrNqA-tEmWQuAYfLtdHjX61VqZkAWo-nToU?e=QaHUSV" TargetMode="External"/><Relationship Id="rId617" Type="http://schemas.openxmlformats.org/officeDocument/2006/relationships/hyperlink" Target="mailto:karen.arandia@nuvu.cc" TargetMode="External"/><Relationship Id="rId659" Type="http://schemas.openxmlformats.org/officeDocument/2006/relationships/hyperlink" Target="https://wgcp.sharepoint.com/:b:/s/NUVU-Proyectos/IQDJnsqiNVfpTbccOK-MQ9nYAT4UtSSUbWyU4m0aTKcDp14?e=UuYxnh" TargetMode="External"/><Relationship Id="rId214" Type="http://schemas.openxmlformats.org/officeDocument/2006/relationships/hyperlink" Target="mailto:moises.rojas@blend360.com" TargetMode="External"/><Relationship Id="rId256" Type="http://schemas.openxmlformats.org/officeDocument/2006/relationships/hyperlink" Target="https://drive.google.com/drive/u/0/folders/1DR7V2szJKFTDWlCG49lgFe_CJ2NqeMbF" TargetMode="External"/><Relationship Id="rId298" Type="http://schemas.openxmlformats.org/officeDocument/2006/relationships/hyperlink" Target="mailto:juan.bernal@blend360.com" TargetMode="External"/><Relationship Id="rId421" Type="http://schemas.openxmlformats.org/officeDocument/2006/relationships/hyperlink" Target="../../NUVU-Proyectos/Shared%20Documents/Forms/AllItems.aspx?id=%2Fsites%2FNUVU%2DProyectos%2FShared%20Documents%2FU%2FUniversidad%20Nacional%2FOSES%202025%2F%5BP0352%5D%20Admisiones%2F00%2E%20Administrativos&amp;viewid=1dd39751%2D8a05%2D4043%2D9a9c%2D470bed0d9f3c&amp;newTargetListUrl=%2Fsites%2FNUVU%2DProyectos%2FShared%20Documents&amp;viewpath=%2Fsites%2FNUVU%2DProyectos%2FShared%20Documents%2FForms%2FAllItems%2Easpx" TargetMode="External"/><Relationship Id="rId463" Type="http://schemas.openxmlformats.org/officeDocument/2006/relationships/hyperlink" Target="../../NUVU-Proyectos/Shared%20Documents/Forms/AllItems.aspx?id=%2Fsites%2FNUVU%2DProyectos%2FShared%20Documents%2FM%2FMetro%20de%20Medell%C3%ADn%2F%5BP0388%5D%20Servicio%20de%20Dise%C3%B1o%20e%20Implementaci%C3%B3n%20de%20Inteligencia%20de%20Negocios%20y%20Anal%C3%ADtica%2F01%2E%20Documentaci%C3%B3n%20Esencial&amp;viewid=1dd39751%2D8a05%2D4043%2D9a9c%2D470bed0d9f3c" TargetMode="External"/><Relationship Id="rId519" Type="http://schemas.openxmlformats.org/officeDocument/2006/relationships/hyperlink" Target="mailto:carlos.sierra@blend360.com" TargetMode="External"/><Relationship Id="rId670" Type="http://schemas.openxmlformats.org/officeDocument/2006/relationships/hyperlink" Target="https://wgcp.sharepoint.com/:w:/s/NUVU-Proyectos/IQDzmanZ8F-jX9rAO6rN2zIiAdVcuDMVU-cSFrjvtAS5_y8?e=VWFPRl" TargetMode="External"/><Relationship Id="rId116" Type="http://schemas.openxmlformats.org/officeDocument/2006/relationships/hyperlink" Target="mailto:daniela.munoz@blend360.com" TargetMode="External"/><Relationship Id="rId158" Type="http://schemas.openxmlformats.org/officeDocument/2006/relationships/hyperlink" Target="mailto:daniela.munoz@blend360.com" TargetMode="External"/><Relationship Id="rId323" Type="http://schemas.openxmlformats.org/officeDocument/2006/relationships/hyperlink" Target="mailto:daniela.munoz@blend360.com" TargetMode="External"/><Relationship Id="rId530" Type="http://schemas.openxmlformats.org/officeDocument/2006/relationships/hyperlink" Target="mailto:carlos.sierra@blend360.com" TargetMode="External"/><Relationship Id="rId20" Type="http://schemas.openxmlformats.org/officeDocument/2006/relationships/hyperlink" Target="https://drive.google.com/drive/u/0/folders/1MGBfD6Vh5uYbROYUHEcdv1tOwFqXfkxx" TargetMode="External"/><Relationship Id="rId62" Type="http://schemas.openxmlformats.org/officeDocument/2006/relationships/hyperlink" Target="mailto:ciliana.capera@blend360.com" TargetMode="External"/><Relationship Id="rId365" Type="http://schemas.openxmlformats.org/officeDocument/2006/relationships/hyperlink" Target="../../../:f:/s/NUVU-Proyectos/EkdbNixGBDtHtvqh1caU3VoB1bCkVnQr2AWWtKe3WST_gg?e=yGIcRa" TargetMode="External"/><Relationship Id="rId572" Type="http://schemas.openxmlformats.org/officeDocument/2006/relationships/hyperlink" Target="mailto:juan.bernal@blend360.com" TargetMode="External"/><Relationship Id="rId628" Type="http://schemas.openxmlformats.org/officeDocument/2006/relationships/hyperlink" Target="https://wgcp.sharepoint.com/:b:/s/NUVU-Proyectos/IQCOjR1TlxgXRIKacgMieZNLAbFK799LmSHxwzdhvXRRlOs?e=ocf5tn" TargetMode="External"/><Relationship Id="rId225" Type="http://schemas.openxmlformats.org/officeDocument/2006/relationships/hyperlink" Target="mailto:juan.bernal@blend360.com" TargetMode="External"/><Relationship Id="rId267" Type="http://schemas.openxmlformats.org/officeDocument/2006/relationships/hyperlink" Target="mailto:nicolas.revollo@blend360.com" TargetMode="External"/><Relationship Id="rId432" Type="http://schemas.openxmlformats.org/officeDocument/2006/relationships/hyperlink" Target="../../../:f:/s/NUVU-Proyectos/EtrXyr-pswRGkuo69OJZmrcBhlhRprp0kzeYaY7HTr3hxw?e=qiRUjY" TargetMode="External"/><Relationship Id="rId474" Type="http://schemas.openxmlformats.org/officeDocument/2006/relationships/hyperlink" Target="../../../:f:/s/NUVU-Comercial/IgBzrlFZBtk_R715Vsc9VWqhARFhnggBfmCZXynw-G923UU?e=JaElOq" TargetMode="External"/><Relationship Id="rId127" Type="http://schemas.openxmlformats.org/officeDocument/2006/relationships/hyperlink" Target="mailto:ciliana.capera@blend360.com" TargetMode="External"/><Relationship Id="rId681" Type="http://schemas.openxmlformats.org/officeDocument/2006/relationships/hyperlink" Target="../../../../../:w:/s/NUVU-Proyectos/IQD8s5ktUNikRLk4GMo49Km0AekiRfos7HYCOsyepuW6dgA?e=RFtJov" TargetMode="External"/><Relationship Id="rId31" Type="http://schemas.openxmlformats.org/officeDocument/2006/relationships/hyperlink" Target="https://drive.google.com/drive/folders/1Qkin2knSCnP-d1UJtDU-JRa9XMNgBM5f" TargetMode="External"/><Relationship Id="rId73" Type="http://schemas.openxmlformats.org/officeDocument/2006/relationships/hyperlink" Target="mailto:nicolas.revollo@blend360.com" TargetMode="External"/><Relationship Id="rId169" Type="http://schemas.openxmlformats.org/officeDocument/2006/relationships/hyperlink" Target="mailto:juan.bernal@blend360.com" TargetMode="External"/><Relationship Id="rId334" Type="http://schemas.openxmlformats.org/officeDocument/2006/relationships/hyperlink" Target="mailto:carolina.aleman@blend360.com" TargetMode="External"/><Relationship Id="rId376" Type="http://schemas.openxmlformats.org/officeDocument/2006/relationships/hyperlink" Target="../../../:f:/s/NUVU-Proyectos/EqWGrwdJfitKpRcrg5ic8J8BWNv4ip3WQ5y9SQ44bBLhkg?e=peeMJC" TargetMode="External"/><Relationship Id="rId541" Type="http://schemas.openxmlformats.org/officeDocument/2006/relationships/hyperlink" Target="../../NUVU-Proyectos/Shared%20Documents/Forms/AllItems.aspx?id=%2Fsites%2FNUVU%2DProyectos%2FShared%20Documents%2FU%2FUniversidad%20Nacional%2FOSES%202025%2F%5BP0340%5D%20Facultad%20de%20Ingenier%C3%ADa%2F00%2E%20Administrativos&amp;viewid=1dd39751%2D8a05%2D4043%2D9a9c%2D470bed0d9f3c&amp;newTargetListUrl=%2Fsites%2FNUVU%2DProyectos%2FShared%20Documents&amp;viewpath=%2Fsites%2FNUVU%2DProyectos%2FShared%20Documents%2FForms%2FAllItems%2Easpx" TargetMode="External"/><Relationship Id="rId583" Type="http://schemas.openxmlformats.org/officeDocument/2006/relationships/hyperlink" Target="mailto:juan.bernal@blend360.com" TargetMode="External"/><Relationship Id="rId639" Type="http://schemas.openxmlformats.org/officeDocument/2006/relationships/hyperlink" Target="../../../:f:/s/NUVU-Proyectos/IgCkCKkp-vI2TItaB8IpnAz4AfFLFEa6blE-BUWk2Ozx2tU?e=DOhEb4" TargetMode="External"/><Relationship Id="rId4" Type="http://schemas.openxmlformats.org/officeDocument/2006/relationships/hyperlink" Target="../../../:f:/s/NUVU-Proyectos/Evl5Aof2Q4VFhw7kufrE9YAB4mwM5b4eQnJJayzfcyMh4A?e=eEPhhg" TargetMode="External"/><Relationship Id="rId180" Type="http://schemas.openxmlformats.org/officeDocument/2006/relationships/hyperlink" Target="mailto:karen.arandia@nuvu.cc" TargetMode="External"/><Relationship Id="rId236" Type="http://schemas.openxmlformats.org/officeDocument/2006/relationships/hyperlink" Target="mailto:moises.rojas@blend360.com" TargetMode="External"/><Relationship Id="rId278" Type="http://schemas.openxmlformats.org/officeDocument/2006/relationships/hyperlink" Target="mailto:marcela.sanchez@blend360.com" TargetMode="External"/><Relationship Id="rId401" Type="http://schemas.openxmlformats.org/officeDocument/2006/relationships/hyperlink" Target="../../NUVU-Proyectos/Shared%20Documents/Forms/AllItems.aspx?id=%2Fsites%2FNUVU%2DProyectos%2FShared%20Documents%2FA%2FADRES%2F%5BP2294%5D%20%2D%20ADR%20%2D%20MVP%20auditorias%2F00%20Administrativos%2FHabilitadores&amp;viewid=1dd39751%2D8a05%2D4043%2D9a9c%2D470bed0d9f3c" TargetMode="External"/><Relationship Id="rId443" Type="http://schemas.openxmlformats.org/officeDocument/2006/relationships/hyperlink" Target="mailto:alejandra.gomez@blend360.com" TargetMode="External"/><Relationship Id="rId650" Type="http://schemas.openxmlformats.org/officeDocument/2006/relationships/hyperlink" Target="../../../:f:/s/NUVU-Proyectos/IgDtI3bo_u4FQIU-68o3nHimAfcWDaqXdzzCfvgtgG9UJKQ?e=hygw36" TargetMode="External"/><Relationship Id="rId303" Type="http://schemas.openxmlformats.org/officeDocument/2006/relationships/hyperlink" Target="mailto:moises.rojas@blend360.com" TargetMode="External"/><Relationship Id="rId485" Type="http://schemas.openxmlformats.org/officeDocument/2006/relationships/hyperlink" Target="../../../:f:/s/NUVU-Legal/IgCM47sl4OKZQZXdgdJHSLOSAQOpWLsfn53MGNu6FlV6t1I?e=vEFqPi" TargetMode="External"/><Relationship Id="rId42" Type="http://schemas.openxmlformats.org/officeDocument/2006/relationships/hyperlink" Target="mailto:alejandra.gomez@blend360.com" TargetMode="External"/><Relationship Id="rId84" Type="http://schemas.openxmlformats.org/officeDocument/2006/relationships/hyperlink" Target="mailto:alejandra.gomez@blend360.com" TargetMode="External"/><Relationship Id="rId138" Type="http://schemas.openxmlformats.org/officeDocument/2006/relationships/hyperlink" Target="mailto:alejandra.gomez@blend360.com" TargetMode="External"/><Relationship Id="rId345" Type="http://schemas.openxmlformats.org/officeDocument/2006/relationships/hyperlink" Target="https://drive.google.com/drive/folders/1S6F4S4Z3RYSYXE5GL-pnR23zYwHbeLJJ" TargetMode="External"/><Relationship Id="rId387" Type="http://schemas.openxmlformats.org/officeDocument/2006/relationships/hyperlink" Target="../../../:f:/s/NUVU-Proyectos/Ej--cVMKMsFDgfNmUgDGOkkBEC6Ztt7Z_R5FkPp4LTA0kw?e=y858hW" TargetMode="External"/><Relationship Id="rId510" Type="http://schemas.openxmlformats.org/officeDocument/2006/relationships/hyperlink" Target="mailto:carlos.sierra@blend360.com" TargetMode="External"/><Relationship Id="rId552" Type="http://schemas.openxmlformats.org/officeDocument/2006/relationships/hyperlink" Target="../../NUVU-Proyectos/Shared%20Documents/Forms/AllItems.aspx?id=%2Fsites%2FNUVU%2DProyectos%2FShared%20Documents%2FP%2FPolic%C3%ADa%20Nacional%2F2025%2F%5BP0347%5D%20%2D%20PON%20%2D%20IAPOL%2DG%20%2D%20IA%20Generativa&amp;viewid=1dd39751%2D8a05%2D4043%2D9a9c%2D470bed0d9f3c" TargetMode="External"/><Relationship Id="rId594" Type="http://schemas.openxmlformats.org/officeDocument/2006/relationships/hyperlink" Target="https://wgcp.sharepoint.com/:b:/s/NUVU-Proyectos/IQA3JVLMDMI8QqWre8V17GfNAaQBjuSBpiL0u7cVuHWuOTU?e=6Dgbjf" TargetMode="External"/><Relationship Id="rId608" Type="http://schemas.openxmlformats.org/officeDocument/2006/relationships/hyperlink" Target="../../../:f:/s/NUVU-Proyectos/IgD6-umZ1j67QoGKTDKBFEqJAbnjSMtm3NUQRbsr8y5l4Ik?e=DC16YG" TargetMode="External"/><Relationship Id="rId191" Type="http://schemas.openxmlformats.org/officeDocument/2006/relationships/hyperlink" Target="https://drive.google.com/drive/folders/1G0v-qHM_XqIqAPUDbz9H8ldoFd_uYKhR" TargetMode="External"/><Relationship Id="rId205" Type="http://schemas.openxmlformats.org/officeDocument/2006/relationships/hyperlink" Target="mailto:nicolas.revollo@blend360.com" TargetMode="External"/><Relationship Id="rId247" Type="http://schemas.openxmlformats.org/officeDocument/2006/relationships/hyperlink" Target="https://drive.google.com/drive/folders/16SAZSrznaM2MTPbdi5HRcOIhH0scT5r8" TargetMode="External"/><Relationship Id="rId412" Type="http://schemas.openxmlformats.org/officeDocument/2006/relationships/hyperlink" Target="../../NUVU-Proyectos/Shared%20Documents/Forms/AllItems.aspx?id=%2Fsites%2FNUVU%2DProyectos%2FShared%20Documents%2FU%2FUniversidad%20Nacional%2FOSES%202025%2F%5BP0294%5D%20Regal%C3%ADas%20Sike%2F00%2E%20Administrativos&amp;newTargetListUrl=%2Fsites%2FNUVU%2DProyectos%2FShared%20Documents&amp;viewpath=%2Fsites%2FNUVU%2DProyectos%2FShared%20Documents%2FForms%2FAllItems%2Easpx" TargetMode="External"/><Relationship Id="rId107" Type="http://schemas.openxmlformats.org/officeDocument/2006/relationships/hyperlink" Target="mailto:alejandra.gomez@blend360.com" TargetMode="External"/><Relationship Id="rId289" Type="http://schemas.openxmlformats.org/officeDocument/2006/relationships/hyperlink" Target="mailto:alejandra.gomez@blend360.com" TargetMode="External"/><Relationship Id="rId454" Type="http://schemas.openxmlformats.org/officeDocument/2006/relationships/hyperlink" Target="../../../:f:/s/NUVU-Proyectos/IgCGgam-rW6mQZ5SaKrRD3i3AdgcxcwVsQBFW6GBO3r-Uo0?e=aSL6Hq" TargetMode="External"/><Relationship Id="rId496" Type="http://schemas.openxmlformats.org/officeDocument/2006/relationships/hyperlink" Target="mailto:alejandra.gomez@blend360.com" TargetMode="External"/><Relationship Id="rId661" Type="http://schemas.openxmlformats.org/officeDocument/2006/relationships/hyperlink" Target="https://wgcp.sharepoint.com/:x:/s/NUVU-Proyectos/IQBJbdbTkCKUT6wNNtzwrvubAWjt-RJTSG69pJ6Lk8lMP7A?e=oG2Y92" TargetMode="External"/><Relationship Id="rId11" Type="http://schemas.openxmlformats.org/officeDocument/2006/relationships/hyperlink" Target="https://drive.google.com/drive/folders/1KbVHP5h-x0K6AaajTwoXU0GLl8r1YQ95" TargetMode="External"/><Relationship Id="rId53" Type="http://schemas.openxmlformats.org/officeDocument/2006/relationships/hyperlink" Target="mailto:alejandra.gomez@blend360.com" TargetMode="External"/><Relationship Id="rId149" Type="http://schemas.openxmlformats.org/officeDocument/2006/relationships/hyperlink" Target="../../NUVU-Proyectos/Shared%20Documents/Forms/AllItems.aspx?id=%2Fsites%2FNUVU%2DProyectos%2FShared%20Documents%2FU%2FUniversidad%20Nacional&amp;sortField=LinkFilename&amp;isAscending=true&amp;viewid=1dd39751%2D8a05%2D4043%2D9a9c%2D470bed0d9f3c&amp;CT=1747430562325&amp;OR=OWA%2DNT%2DMail&amp;CID=e9f8afa4%2Ddaa0%2Daa3d%2D3c26%2Daceec7c7ca03" TargetMode="External"/><Relationship Id="rId314" Type="http://schemas.openxmlformats.org/officeDocument/2006/relationships/hyperlink" Target="https://drive.google.com/drive/u/0/folders/113jIx4Sscgye7QpsmyJJ_tjK1rALFHfT" TargetMode="External"/><Relationship Id="rId356" Type="http://schemas.openxmlformats.org/officeDocument/2006/relationships/hyperlink" Target="../../../:f:/s/NUVU-Proyectos/Ei9M587w-jdMtM8LCqlbNI0BCcmVLPz51nTL0AlciKRu-A?e=5QpWoj" TargetMode="External"/><Relationship Id="rId398" Type="http://schemas.openxmlformats.org/officeDocument/2006/relationships/hyperlink" Target="../../NUVU-Proyectos/Shared%20Documents/Forms/AllItems.aspx?id=%2Fsites%2FNUVU%2DProyectos%2FShared%20Documents%2FC%2FCAT%20%2D%20Catastro%20Distrital%2F%5BP2124%5D%20CAT%20%2D%20Agente%20Cognitivo%20e%20Infraestructura%20AWS%2F01%2E%20Documentaci%C3%B3n%20esencial%2F01%20%2D%20Habilitadores&amp;viewid=1dd39751%2D8a05%2D4043%2D9a9c%2D470bed0d9f3c" TargetMode="External"/><Relationship Id="rId521" Type="http://schemas.openxmlformats.org/officeDocument/2006/relationships/hyperlink" Target="mailto:carlos.sierra@blend360.com" TargetMode="External"/><Relationship Id="rId563" Type="http://schemas.openxmlformats.org/officeDocument/2006/relationships/hyperlink" Target="../../../:f:/s/NUVU-Proyectos/EigIuz4hpPtBj5V2MDV5PfkBtehrrUqLaWUDWxC41UqE-A?e=zjWO8i" TargetMode="External"/><Relationship Id="rId619" Type="http://schemas.openxmlformats.org/officeDocument/2006/relationships/hyperlink" Target="mailto:karen.arandia@nuvu.cc" TargetMode="External"/><Relationship Id="rId95" Type="http://schemas.openxmlformats.org/officeDocument/2006/relationships/hyperlink" Target="mailto:alejandra.gomez@blend360.com" TargetMode="External"/><Relationship Id="rId160" Type="http://schemas.openxmlformats.org/officeDocument/2006/relationships/hyperlink" Target="../../../:f:/s/NUVU-Proyectos/EkTfHxkHPglGiBhmWIgQilIBxvvbqsSGQeMj-_pNdcPi7Q?e=C2c0JS" TargetMode="External"/><Relationship Id="rId216" Type="http://schemas.openxmlformats.org/officeDocument/2006/relationships/hyperlink" Target="mailto:moises.rojas@blend360.com" TargetMode="External"/><Relationship Id="rId423" Type="http://schemas.openxmlformats.org/officeDocument/2006/relationships/hyperlink" Target="../../NUVU-Proyectos/Shared%20Documents/Forms/AllItems.aspx?id=%2Fsites%2FNUVU%2DProyectos%2FShared%20Documents%2FU%2FUniversidad%20Nacional%2FOSES%202025%2F%5BP0340%5D%20Facultad%20de%20Ingenier%C3%ADa%2F00%2E%20Administrativos&amp;viewid=1dd39751%2D8a05%2D4043%2D9a9c%2D470bed0d9f3c&amp;newTargetListUrl=%2Fsites%2FNUVU%2DProyectos%2FShared%20Documents&amp;viewpath=%2Fsites%2FNUVU%2DProyectos%2FShared%20Documents%2FForms%2FAllItems%2Easpx" TargetMode="External"/><Relationship Id="rId258" Type="http://schemas.openxmlformats.org/officeDocument/2006/relationships/hyperlink" Target="mailto:nicolas.revollo@blend360.com" TargetMode="External"/><Relationship Id="rId465" Type="http://schemas.openxmlformats.org/officeDocument/2006/relationships/hyperlink" Target="../../NUVU-Proyectos/Shared%20Documents/Forms/AllItems.aspx?id=%2Fsites%2FNUVU%2DProyectos%2FShared%20Documents%2FM%2FMetro%20de%20Medell%C3%ADn%2F%5BP0388%5D%20Servicio%20de%20Dise%C3%B1o%20e%20Implementaci%C3%B3n%20de%20Inteligencia%20de%20Negocios%20y%20Anal%C3%ADtica&amp;viewid=1dd39751%2D8a05%2D4043%2D9a9c%2D470bed0d9f3c" TargetMode="External"/><Relationship Id="rId630" Type="http://schemas.openxmlformats.org/officeDocument/2006/relationships/hyperlink" Target="../../../:f:/s/NUVU-Proyectos/IgBHWzYsRgQ7R7b6odXGlN1aAbjBBSPtzlSMh-CIlqGyC7g?e=oR73LN" TargetMode="External"/><Relationship Id="rId672" Type="http://schemas.openxmlformats.org/officeDocument/2006/relationships/hyperlink" Target="https://wgcp.sharepoint.com/:b:/s/NUVU-Proyectos/IQBJ9LDhE-GyQ69Zz5XWUo3HASsg9S8MsF4bQtKplAH6BMU?e=GnsW1r" TargetMode="External"/><Relationship Id="rId22" Type="http://schemas.openxmlformats.org/officeDocument/2006/relationships/hyperlink" Target="mailto:andres.barrantes@nuvu.cc" TargetMode="External"/><Relationship Id="rId64" Type="http://schemas.openxmlformats.org/officeDocument/2006/relationships/hyperlink" Target="mailto:nicolas.revollo@blend360.com" TargetMode="External"/><Relationship Id="rId118" Type="http://schemas.openxmlformats.org/officeDocument/2006/relationships/hyperlink" Target="mailto:ciliana.capera@blend360.com" TargetMode="External"/><Relationship Id="rId325" Type="http://schemas.openxmlformats.org/officeDocument/2006/relationships/hyperlink" Target="mailto:karen.arandia@nuvu.cc" TargetMode="External"/><Relationship Id="rId367" Type="http://schemas.openxmlformats.org/officeDocument/2006/relationships/hyperlink" Target="../../../:f:/s/NUVU-Proyectos/EkdbNixGBDtHtvqh1caU3VoB1bCkVnQr2AWWtKe3WST_gg?e=yGIcRa" TargetMode="External"/><Relationship Id="rId532" Type="http://schemas.openxmlformats.org/officeDocument/2006/relationships/hyperlink" Target="mailto:carlos.sierra@blend360.com" TargetMode="External"/><Relationship Id="rId574" Type="http://schemas.openxmlformats.org/officeDocument/2006/relationships/hyperlink" Target="mailto:juan.bernal@blend360.com" TargetMode="External"/><Relationship Id="rId171" Type="http://schemas.openxmlformats.org/officeDocument/2006/relationships/hyperlink" Target="mailto:nicolas.revollo@blend360.com" TargetMode="External"/><Relationship Id="rId227" Type="http://schemas.openxmlformats.org/officeDocument/2006/relationships/hyperlink" Target="mailto:marcela.sanchez@blend360.com" TargetMode="External"/><Relationship Id="rId269" Type="http://schemas.openxmlformats.org/officeDocument/2006/relationships/hyperlink" Target="../../NUVU-Proyectos/Shared%20Documents/Forms/AllItems.aspx?id=%2Fsites%2FNUVU%2DProyectos%2FShared%20Documents%2FU%2FUniversidad%20Nacional&amp;sortField=LinkFilename&amp;isAscending=true&amp;viewid=1dd39751%2D8a05%2D4043%2D9a9c%2D470bed0d9f3c&amp;CT=1747430562325&amp;OR=OWA%2DNT%2DMail&amp;CID=e9f8afa4%2Ddaa0%2Daa3d%2D3c26%2Daceec7c7ca03" TargetMode="External"/><Relationship Id="rId434" Type="http://schemas.openxmlformats.org/officeDocument/2006/relationships/hyperlink" Target="../../../:f:/s/NUVU-Proyectos/EtrXyr-pswRGkuo69OJZmrcBhlhRprp0kzeYaY7HTr3hxw?e=qiRUjY" TargetMode="External"/><Relationship Id="rId476" Type="http://schemas.openxmlformats.org/officeDocument/2006/relationships/hyperlink" Target="../../../:f:/s/NUVU-Proyectos/IgB0VMBRdKu-R6_ijOvi2iOMAXAjSG9P9RmyssH4yPcnqqE?e=2zHYT4" TargetMode="External"/><Relationship Id="rId641" Type="http://schemas.openxmlformats.org/officeDocument/2006/relationships/hyperlink" Target="../../NUVU-Proyectos/Shared%20Documents/Forms/AllItems.aspx?id=%2Fsites%2FNUVU%2DProyectos%2FShared%20Documents%2FF%2FFondo%20Adaptaci%C3%B3n%2F%5BP2032%5D%20FOA%20%2D%20Evoluci%C3%B3n%20Integral%20Mojana&amp;viewid=1dd39751%2D8a05%2D4043%2D9a9c%2D470bed0d9f3c&amp;newTargetListUrl=%2Fsites%2FNUVU%2DProyectos%2FShared%20Documents&amp;viewpath=%2Fsites%2FNUVU%2DProyectos%2FShared%20Documents%2FForms%2FAllItems%2Easpx&amp;view=7&amp;q=comite" TargetMode="External"/><Relationship Id="rId683" Type="http://schemas.openxmlformats.org/officeDocument/2006/relationships/hyperlink" Target="https://wgcp.sharepoint.com/:b:/r/sites/NUVU-Proyectos/Shared%20Documents/J/JPMP%20-%20Justicia%20Penal%20Militar%20y%20Policial/%5BP1947%5D%20-%20JPMP%20Cloud%20Managed%20Services/1.%20Documentos%20del%20Proyecto/Acta%20de%20Inicio/Kickoff%20JPMP%20OC%20119973.pdf?csf=1&amp;web=1&amp;e=sZl5Zp" TargetMode="External"/><Relationship Id="rId33" Type="http://schemas.openxmlformats.org/officeDocument/2006/relationships/hyperlink" Target="https://drive.google.com/drive/folders/1G0v-qHM_XqIqAPUDbz9H8ldoFd_uYKhR" TargetMode="External"/><Relationship Id="rId129" Type="http://schemas.openxmlformats.org/officeDocument/2006/relationships/hyperlink" Target="mailto:nicolas.revollo@blend360.com" TargetMode="External"/><Relationship Id="rId280" Type="http://schemas.openxmlformats.org/officeDocument/2006/relationships/hyperlink" Target="mailto:marcela.sanchez@blend360.com" TargetMode="External"/><Relationship Id="rId336" Type="http://schemas.openxmlformats.org/officeDocument/2006/relationships/hyperlink" Target="mailto:carolina.aleman@blend360.com" TargetMode="External"/><Relationship Id="rId501" Type="http://schemas.openxmlformats.org/officeDocument/2006/relationships/hyperlink" Target="mailto:juan.bernal@blend360.com" TargetMode="External"/><Relationship Id="rId543" Type="http://schemas.openxmlformats.org/officeDocument/2006/relationships/hyperlink" Target="https://drive.google.com/file/d/1pVuO_-me2aub8btCyX7ux5SBrt_2GLOJ/view?usp=drive_link" TargetMode="External"/><Relationship Id="rId75" Type="http://schemas.openxmlformats.org/officeDocument/2006/relationships/hyperlink" Target="mailto:nicolas.revollo@blend360.com" TargetMode="External"/><Relationship Id="rId140" Type="http://schemas.openxmlformats.org/officeDocument/2006/relationships/hyperlink" Target="../../NUVU-Comercial/Shared%20Documents/Forms/AllItems.aspx?id=%2Fsites%2FNUVU%2DComercial%2FShared%20Documents%2FU%2FUniversidad%20Nacional%20de%20Colombia%2F2025%2F01%2E%20Acuerdo%20Marco%2FAcuerdo%20y%20Adiciones%2FOSES%2FDivisi%C3%B3n%20Extensi%C3%B3n&amp;p=true&amp;CT=1745948383954&amp;OR=OWA%2DNT%2DMail&amp;CID=d414a553%2Dbfe1%2D99ba%2D35a5%2D68e74f7f74f3&amp;ga=1" TargetMode="External"/><Relationship Id="rId182" Type="http://schemas.openxmlformats.org/officeDocument/2006/relationships/hyperlink" Target="mailto:juan.bernal@blend360.com" TargetMode="External"/><Relationship Id="rId378" Type="http://schemas.openxmlformats.org/officeDocument/2006/relationships/hyperlink" Target="../../../:f:/s/NUVU-Proyectos/EiCnNFJ67bROuHakFCO5me4BgfAJNoFp2flEdCRaL8qwEA?e=DXfqTj" TargetMode="External"/><Relationship Id="rId403" Type="http://schemas.openxmlformats.org/officeDocument/2006/relationships/hyperlink" Target="../../NUVU-Proyectos/Shared%20Documents/Forms/AllItems.aspx?id=%2Fsites%2FNUVU%2DProyectos%2FShared%20Documents%2FU%2FUniversidad%20Nacional%2FOSES%202025%2F%5BP0298%5D%20Fortinet%2F00%2E%20Administrativos&amp;viewid=1dd39751%2D8a05%2D4043%2D9a9c%2D470bed0d9f3c" TargetMode="External"/><Relationship Id="rId585" Type="http://schemas.openxmlformats.org/officeDocument/2006/relationships/hyperlink" Target="https://wgcp.sharepoint.com/:b:/s/NUVU-Proyectos/IQC01iv30o1cQKNN4ZwjJ7n1AasLMGxE8NB64BWpHAPOi98?e=ILmCKf" TargetMode="External"/><Relationship Id="rId6" Type="http://schemas.openxmlformats.org/officeDocument/2006/relationships/hyperlink" Target="https://drive.google.com/file/d/11FpCq5CTW1Rd3YjN3GeYqvC5CWafL6iI/view?usp=sharing" TargetMode="External"/><Relationship Id="rId238" Type="http://schemas.openxmlformats.org/officeDocument/2006/relationships/hyperlink" Target="mailto:nicolas.revollo@blend360.com" TargetMode="External"/><Relationship Id="rId445" Type="http://schemas.openxmlformats.org/officeDocument/2006/relationships/hyperlink" Target="../../../:f:/s/NUVU-Proyectos/EigIuz4hpPtBj5V2MDV5PfkBtehrrUqLaWUDWxC41UqE-A?e=zjWO8i" TargetMode="External"/><Relationship Id="rId487" Type="http://schemas.openxmlformats.org/officeDocument/2006/relationships/hyperlink" Target="mailto:juan.zambrano@blend360.com" TargetMode="External"/><Relationship Id="rId610" Type="http://schemas.openxmlformats.org/officeDocument/2006/relationships/hyperlink" Target="../../../:f:/s/NUVU-Proyectos/IgD6-umZ1j67QoGKTDKBFEqJAbnjSMtm3NUQRbsr8y5l4Ik?e=DC16YG" TargetMode="External"/><Relationship Id="rId652" Type="http://schemas.openxmlformats.org/officeDocument/2006/relationships/hyperlink" Target="https://wgcp.sharepoint.com/:x:/s/NUVU-Proyectos/IQC2FBOjehdDSJGNFnAA--XuASKcvG4z232Av5OSqQnCQeQ?e=7EdmvJ" TargetMode="External"/><Relationship Id="rId291" Type="http://schemas.openxmlformats.org/officeDocument/2006/relationships/hyperlink" Target="https://drive.google.com/drive/folders/1X4iELvATSIXxv9fAYa9XJVZ8gAnjLE8l" TargetMode="External"/><Relationship Id="rId305" Type="http://schemas.openxmlformats.org/officeDocument/2006/relationships/hyperlink" Target="mailto:ciliana.capera@blend360.com" TargetMode="External"/><Relationship Id="rId347" Type="http://schemas.openxmlformats.org/officeDocument/2006/relationships/hyperlink" Target="mailto:moises.rojas@blend360.com" TargetMode="External"/><Relationship Id="rId512" Type="http://schemas.openxmlformats.org/officeDocument/2006/relationships/hyperlink" Target="mailto:carlos.sierra@blend360.com" TargetMode="External"/><Relationship Id="rId44" Type="http://schemas.openxmlformats.org/officeDocument/2006/relationships/hyperlink" Target="mailto:alejandra.gomez@blend360.com" TargetMode="External"/><Relationship Id="rId86" Type="http://schemas.openxmlformats.org/officeDocument/2006/relationships/hyperlink" Target="mailto:karen.arandia@nuvu.cc" TargetMode="External"/><Relationship Id="rId151" Type="http://schemas.openxmlformats.org/officeDocument/2006/relationships/hyperlink" Target="mailto:nicolas.revollo@blend360.com" TargetMode="External"/><Relationship Id="rId389" Type="http://schemas.openxmlformats.org/officeDocument/2006/relationships/hyperlink" Target="../../../:f:/s/NUVU-Proyectos/EmcWFnNU1JpJjUwSBDvzPtcBP4WpVOVE4Ot6cfLRS7yUvQ?e=klBQBM" TargetMode="External"/><Relationship Id="rId554" Type="http://schemas.openxmlformats.org/officeDocument/2006/relationships/hyperlink" Target="../../../:f:/s/NUVU-Proyectos/EnKr9BIZ2KhLltXalrhCErAB0g8zR33QuKnbG5rqur8s_g?e=DMsbDw" TargetMode="External"/><Relationship Id="rId596" Type="http://schemas.openxmlformats.org/officeDocument/2006/relationships/hyperlink" Target="https://wgcp.sharepoint.com/:w:/s/NUVU-Proyectos/IQCLKapOrdZQQZpRb7pSyHE3AfpKLqr_mH0YKGtSaoVx7B8?e=TBiUrS" TargetMode="External"/><Relationship Id="rId193" Type="http://schemas.openxmlformats.org/officeDocument/2006/relationships/hyperlink" Target="mailto:moises.rojas@blend360.com" TargetMode="External"/><Relationship Id="rId207" Type="http://schemas.openxmlformats.org/officeDocument/2006/relationships/hyperlink" Target="mailto:nicolas.revollo@blend360.com" TargetMode="External"/><Relationship Id="rId249" Type="http://schemas.openxmlformats.org/officeDocument/2006/relationships/hyperlink" Target="https://drive.google.com/drive/folders/16SAZSrznaM2MTPbdi5HRcOIhH0scT5r8" TargetMode="External"/><Relationship Id="rId414" Type="http://schemas.openxmlformats.org/officeDocument/2006/relationships/hyperlink" Target="../../NUVU-Proyectos/Shared%20Documents/Forms/AllItems.aspx?id=%2Fsites%2FNUVU%2DProyectos%2FShared%20Documents%2FU%2FUniversidad%20Nacional%2FOSES%202025%2F%5BP0350%5D%20Facultad%20Derecho%20Concurso%20de%20M%C3%A9ritos%2F00%2E%20Administrativos&amp;newTargetListUrl=%2Fsites%2FNUVU%2DProyectos%2FShared%20Documents&amp;viewpath=%2Fsites%2FNUVU%2DProyectos%2FShared%20Documents%2FForms%2FAllItems%2Easpx" TargetMode="External"/><Relationship Id="rId456" Type="http://schemas.openxmlformats.org/officeDocument/2006/relationships/hyperlink" Target="../../NUVU-Proyectos/Shared%20Documents/Forms/AllItems.aspx?id=%2Fsites%2FNUVU%2DProyectos%2FShared%20Documents%2FU%2FUniversidad%20Nacional%2F%5BP0387%5D%20CO%2D%20Universidad%20Nacional%20%2D%20Fortinet%2F01%2E%20Documentaci%C3%B3n%20Esencial&amp;viewid=1dd39751%2D8a05%2D4043%2D9a9c%2D470bed0d9f3c&amp;newTargetListUrl=%2Fsites%2FNUVU%2DProyectos%2FShared%20Documents&amp;viewpath=%2Fsites%2FNUVU%2DProyectos%2FShared%20Documents%2FForms%2FAllItems%2Easpx" TargetMode="External"/><Relationship Id="rId498" Type="http://schemas.openxmlformats.org/officeDocument/2006/relationships/hyperlink" Target="../../../:f:/s/NUVU-Proyectos/IgBKmKbEXdH-TaVySCy8Bx4TAVmHlB0sDBh8G_KMvPkm-fs?e=PCAtkJ" TargetMode="External"/><Relationship Id="rId621" Type="http://schemas.openxmlformats.org/officeDocument/2006/relationships/hyperlink" Target="mailto:alejandra.gomez@blend360.com" TargetMode="External"/><Relationship Id="rId663" Type="http://schemas.openxmlformats.org/officeDocument/2006/relationships/hyperlink" Target="../../../:f:/s/NUVU-Proyectos/IgCz1A_60sr9Qr16GZWjCeG-ASWroxd_Mvdwy1aoGujzkm4?e=oofD26" TargetMode="External"/><Relationship Id="rId13" Type="http://schemas.openxmlformats.org/officeDocument/2006/relationships/hyperlink" Target="https://drive.google.com/drive/u/0/folders/1e3CUiy4QQJNkWOoWgZVjMDvkbWM6_9Do" TargetMode="External"/><Relationship Id="rId109" Type="http://schemas.openxmlformats.org/officeDocument/2006/relationships/hyperlink" Target="mailto:nicolas.revollo@blend360.com" TargetMode="External"/><Relationship Id="rId260" Type="http://schemas.openxmlformats.org/officeDocument/2006/relationships/hyperlink" Target="../../../:f:/r/sites/NUVU-Legal/Shared%20Documents/Gesti%C3%B3n%20Contractual/Contratos%20Clientes%20y%20Proveedores/Contratos%20Clientes/C/Coljuegos%20S.A?csf=1&amp;web=1&amp;e=dBSOh7" TargetMode="External"/><Relationship Id="rId316" Type="http://schemas.openxmlformats.org/officeDocument/2006/relationships/hyperlink" Target="mailto:daniela.munoz@blend360.com" TargetMode="External"/><Relationship Id="rId523" Type="http://schemas.openxmlformats.org/officeDocument/2006/relationships/hyperlink" Target="mailto:carlos.sierra@blend360.com" TargetMode="External"/><Relationship Id="rId55" Type="http://schemas.openxmlformats.org/officeDocument/2006/relationships/hyperlink" Target="mailto:alejandra.gomez@blend360.com" TargetMode="External"/><Relationship Id="rId97" Type="http://schemas.openxmlformats.org/officeDocument/2006/relationships/hyperlink" Target="mailto:nicolas.revollo@blend360.com" TargetMode="External"/><Relationship Id="rId120" Type="http://schemas.openxmlformats.org/officeDocument/2006/relationships/hyperlink" Target="../../../:f:/s/NUVU-Proyectos/EiEXLzT7-AdFsRFyKZgyLpgBM1u5HmDv2pJ1rTFcGASBiQ?e=Dh9deM" TargetMode="External"/><Relationship Id="rId358" Type="http://schemas.openxmlformats.org/officeDocument/2006/relationships/hyperlink" Target="../../../:f:/s/NUVU-Proyectos/EiJdzSA4HltFqJ8p9tP-M5EB3RGFsxF59076xJ188xTIGQ?e=fvfpam" TargetMode="External"/><Relationship Id="rId565" Type="http://schemas.openxmlformats.org/officeDocument/2006/relationships/hyperlink" Target="mailto:juan.bernal@blend360.com" TargetMode="External"/><Relationship Id="rId162" Type="http://schemas.openxmlformats.org/officeDocument/2006/relationships/hyperlink" Target="https://drive.google.com/drive/u/0/folders/1e3CUiy4QQJNkWOoWgZVjMDvkbWM6_9Do" TargetMode="External"/><Relationship Id="rId218" Type="http://schemas.openxmlformats.org/officeDocument/2006/relationships/hyperlink" Target="mailto:alejandra.gomez@blend360.com" TargetMode="External"/><Relationship Id="rId425" Type="http://schemas.openxmlformats.org/officeDocument/2006/relationships/hyperlink" Target="../../NUVU-Proyectos/Shared%20Documents/Forms/AllItems.aspx?id=%2Fsites%2FNUVU%2DProyectos%2FShared%20Documents%2FU%2FUniversidad%20Nacional%2FOSES%202025%2F%5BP0373%5D%20UNA%20OSE%203%20Secretar%C3%ADa%20General%2F00%2E%20Administrativos&amp;viewid=1dd39751%2D8a05%2D4043%2D9a9c%2D470bed0d9f3c&amp;newTargetListUrl=%2Fsites%2FNUVU%2DProyectos%2FShared%20Documents&amp;viewpath=%2Fsites%2FNUVU%2DProyectos%2FShared%20Documents%2FForms%2FAllItems%2Easpx" TargetMode="External"/><Relationship Id="rId467" Type="http://schemas.openxmlformats.org/officeDocument/2006/relationships/hyperlink" Target="mailto:alejandra.gomez@blend360.com" TargetMode="External"/><Relationship Id="rId632" Type="http://schemas.openxmlformats.org/officeDocument/2006/relationships/hyperlink" Target="../../../:f:/s/NUVU-Proyectos/IgBHWzYsRgQ7R7b6odXGlN1aAbjBBSPtzlSMh-CIlqGyC7g?e=oR73LN" TargetMode="External"/><Relationship Id="rId271" Type="http://schemas.openxmlformats.org/officeDocument/2006/relationships/hyperlink" Target="mailto:nicolas.revollo@blend360.com" TargetMode="External"/><Relationship Id="rId674" Type="http://schemas.openxmlformats.org/officeDocument/2006/relationships/hyperlink" Target="../../../:f:/s/NUVU-Proyectos/IgDqPk-_ENuKR43HDWafcio5AYjazmZ6DSkWPff0-TgbYf4?e=WhnpSF" TargetMode="External"/><Relationship Id="rId24" Type="http://schemas.openxmlformats.org/officeDocument/2006/relationships/hyperlink" Target="../../../:f:/s/NUVU-Proyectos/Etpy6UYS--FEmyQj9HUXw_QBGDwNW0vXjicbBsNdVjk13Q?e=r8vO6A" TargetMode="External"/><Relationship Id="rId66" Type="http://schemas.openxmlformats.org/officeDocument/2006/relationships/hyperlink" Target="mailto:nicolas.revollo@blend360.com" TargetMode="External"/><Relationship Id="rId131" Type="http://schemas.openxmlformats.org/officeDocument/2006/relationships/hyperlink" Target="mailto:alejandra.gomez@blend360.com" TargetMode="External"/><Relationship Id="rId327" Type="http://schemas.openxmlformats.org/officeDocument/2006/relationships/hyperlink" Target="mailto:juan.bernal@blend360.com" TargetMode="External"/><Relationship Id="rId369" Type="http://schemas.openxmlformats.org/officeDocument/2006/relationships/hyperlink" Target="../../../:f:/s/NUVU-Proyectos/EkUx4UXQQF9Gmbgqp99OYCEBqiVIYCBOlTO90Rroq8ZAEA?e=m57kbk" TargetMode="External"/><Relationship Id="rId534" Type="http://schemas.openxmlformats.org/officeDocument/2006/relationships/hyperlink" Target="../../../:f:/s/NUVU-Proyectos/EiCnNFJ67bROuHakFCO5me4BgfAJNoFp2flEdCRaL8qwEA?e=DXfqTj" TargetMode="External"/><Relationship Id="rId576" Type="http://schemas.openxmlformats.org/officeDocument/2006/relationships/hyperlink" Target="mailto:juan.bernal@blend360.com" TargetMode="External"/><Relationship Id="rId173" Type="http://schemas.openxmlformats.org/officeDocument/2006/relationships/hyperlink" Target="https://drive.google.com/file/d/16eArFD4NeqV0sWlacWFskdCqM5_jPXKC/view?usp=drive_link" TargetMode="External"/><Relationship Id="rId229" Type="http://schemas.openxmlformats.org/officeDocument/2006/relationships/hyperlink" Target="mailto:ciliana.capera@blend360.com" TargetMode="External"/><Relationship Id="rId380" Type="http://schemas.openxmlformats.org/officeDocument/2006/relationships/hyperlink" Target="../../../:f:/s/NUVU-Proyectos/EkTfHxkHPglGiBhmWIgQilIBxvvbqsSGQeMj-_pNdcPi7Q?e=C2c0JS" TargetMode="External"/><Relationship Id="rId436" Type="http://schemas.openxmlformats.org/officeDocument/2006/relationships/hyperlink" Target="../../../:f:/s/NUVU-Proyectos/EtrXyr-pswRGkuo69OJZmrcBhlhRprp0kzeYaY7HTr3hxw?e=qiRUjY" TargetMode="External"/><Relationship Id="rId601" Type="http://schemas.openxmlformats.org/officeDocument/2006/relationships/hyperlink" Target="https://wgcp.sharepoint.com/:b:/s/NUVU-Proyectos/IQA3JVLMDMI8QqWre8V17GfNAaQBjuSBpiL0u7cVuHWuOTU?e=6Dgbjf" TargetMode="External"/><Relationship Id="rId643" Type="http://schemas.openxmlformats.org/officeDocument/2006/relationships/hyperlink" Target="../../NUVU-Proyectos/Shared%20Documents/Forms/AllItems.aspx?id=%2Fsites%2FNUVU%2DProyectos%2FShared%20Documents%2FU%2FUniversidad%20El%20Bosque%2FUniversidad%20de%20la%20Sabana%2F%5BP2575%5D%20Servicios%20Profesionales%2F01%2E%20Documentaci%C3%B3n%20esencial%2F03%2E%20Documentos%20Contractuales%2F2%2E%20Orden%20de%20compra%20%2D%20PEDIDO%20119697%20HIGH%20TECH%20SAS%2Epdf&amp;parent=%2Fsites%2FNUVU%2DProyectos%2FShared%20Documents%2FU%2FUniversidad%20El%20Bosque%2FUniversidad%20de%20la%20Sabana%2F%5BP2575%5D%20Servicios%20Profesionales%2F01%2E%20Documentaci%C3%B3n%20esencial%2F03%2E%20Documentos%20Contractuales&amp;p=true&amp;ga=1" TargetMode="External"/><Relationship Id="rId240" Type="http://schemas.openxmlformats.org/officeDocument/2006/relationships/hyperlink" Target="mailto:marcela.sanchez@blend360.com" TargetMode="External"/><Relationship Id="rId478" Type="http://schemas.openxmlformats.org/officeDocument/2006/relationships/hyperlink" Target="../../../:f:/s/NUVU-Proyectos/IgBOWFrTqLDARrme81PpHSdVAXDmWoeZHaZ8NMomRp30VBc?e=JaYCEO" TargetMode="External"/><Relationship Id="rId685" Type="http://schemas.openxmlformats.org/officeDocument/2006/relationships/hyperlink" Target="https://wgcp.sharepoint.com/:p:/s/NUVU-Proyectos/IQCnpTuosSjATakDxvmEOGz4Ac5gmeWpLfd03L4f_UcmYsE?e=raq6RO" TargetMode="External"/><Relationship Id="rId35" Type="http://schemas.openxmlformats.org/officeDocument/2006/relationships/hyperlink" Target="mailto:steven.nino@blend360.com" TargetMode="External"/><Relationship Id="rId77" Type="http://schemas.openxmlformats.org/officeDocument/2006/relationships/hyperlink" Target="mailto:marcela.sanchez@blend360.com" TargetMode="External"/><Relationship Id="rId100" Type="http://schemas.openxmlformats.org/officeDocument/2006/relationships/hyperlink" Target="mailto:moises.rojas@blend360.com" TargetMode="External"/><Relationship Id="rId282" Type="http://schemas.openxmlformats.org/officeDocument/2006/relationships/hyperlink" Target="../../NUVU-Proyectos/Shared%20Documents/Forms/AllItems.aspx?id=%2Fsites%2FNUVU%2DProyectos%2FShared%20Documents%2FP%2FPolic%C3%ADa%20Nacional%2F2025%2F%5BP0347%5D%20%2D%20PON%20%2D%20IAPOL%2DG%20%2D%20IA%20Generativa&amp;viewid=1dd39751%2D8a05%2D4043%2D9a9c%2D470bed0d9f3c" TargetMode="External"/><Relationship Id="rId338" Type="http://schemas.openxmlformats.org/officeDocument/2006/relationships/hyperlink" Target="mailto:carolina.aleman@blend360.com" TargetMode="External"/><Relationship Id="rId503" Type="http://schemas.openxmlformats.org/officeDocument/2006/relationships/hyperlink" Target="mailto:carlos.sierra@blend360.com" TargetMode="External"/><Relationship Id="rId545" Type="http://schemas.openxmlformats.org/officeDocument/2006/relationships/hyperlink" Target="mailto:alejandra.gomez@blend360.com" TargetMode="External"/><Relationship Id="rId587" Type="http://schemas.openxmlformats.org/officeDocument/2006/relationships/hyperlink" Target="https://wgcp.sharepoint.com/:b:/s/NUVU-Proyectos/IQC01iv30o1cQKNN4ZwjJ7n1AasLMGxE8NB64BWpHAPOi98?e=ILmCKf" TargetMode="External"/><Relationship Id="rId8" Type="http://schemas.openxmlformats.org/officeDocument/2006/relationships/hyperlink" Target="../../../:f:/s/NUVU-Proyectos/EgerflSByXNDhmYTxgHJkQ4BwVzQVprNeRrgeFLC5NEQ2g?e=hNHrto" TargetMode="External"/><Relationship Id="rId142" Type="http://schemas.openxmlformats.org/officeDocument/2006/relationships/hyperlink" Target="mailto:nicolas.revollo@blend360.com" TargetMode="External"/><Relationship Id="rId184" Type="http://schemas.openxmlformats.org/officeDocument/2006/relationships/hyperlink" Target="mailto:moises.rojas@blend360.com" TargetMode="External"/><Relationship Id="rId391" Type="http://schemas.openxmlformats.org/officeDocument/2006/relationships/hyperlink" Target="../../NUVU-Proyectos/Shared%20Documents/Forms/AllItems.aspx?id=%2Fsites%2FNUVU%2DProyectos%2FShared%20Documents%2FM%2FMintic%2F%5BP0316%5D%20MTI%20%2D%20Ciudades%20y%20territorios%20inteligentes%20Mintic%2F01%2E%20Documentaci%C3%B3n%20esencial%2F01%2E%20Habilitacion&amp;viewid=1dd39751%2D8a05%2D4043%2D9a9c%2D470bed0d9f3c" TargetMode="External"/><Relationship Id="rId405" Type="http://schemas.openxmlformats.org/officeDocument/2006/relationships/hyperlink" Target="../../NUVU-Proyectos/Shared%20Documents/Forms/AllItems.aspx?id=%2Fsites%2FNUVU%2DProyectos%2FShared%20Documents%2FU%2FUniversidad%20Nacional%2FOSES%202025%2F%5BP0336%5D%20UNA%20Gesti%C3%B3n%20de%20Informaci%C3%B3n%2F00%2E%20Administrativo&amp;viewid=1dd39751%2D8a05%2D4043%2D9a9c%2D470bed0d9f3c" TargetMode="External"/><Relationship Id="rId447" Type="http://schemas.openxmlformats.org/officeDocument/2006/relationships/hyperlink" Target="../../NUVU-Comercial/Shared%20Documents/Forms/AllItems.aspx?id=%2Fsites%2FNUVU%2DComercial%2FShared%20Documents%2FI%2FICFES%20%2D%20Instituto%20Colombiano%20para%20la%20Evaluaci%C3%B3n%20de%20la%20Educaci%C3%B3n%2F2025%2FBanco%20de%20Items%2FV2%20%28sin%20buscador%29&amp;viewid=1dd39751%2D8a05%2D4043%2D9a9c%2D470bed0d9f3c&amp;newTargetListUrl=%2Fsites%2FNUVU%2DComercial%2FShared%20Documents&amp;viewpath=%2Fsites%2FNUVU%2DComercial%2FShared%20Documents%2FForms%2FAllItems%2Easpx" TargetMode="External"/><Relationship Id="rId612" Type="http://schemas.openxmlformats.org/officeDocument/2006/relationships/hyperlink" Target="../../../:f:/s/NUVU-Proyectos/IgD6-umZ1j67QoGKTDKBFEqJAbnjSMtm3NUQRbsr8y5l4Ik?e=DC16YG" TargetMode="External"/><Relationship Id="rId251" Type="http://schemas.openxmlformats.org/officeDocument/2006/relationships/hyperlink" Target="mailto:alejandra.gomez@blend360.com" TargetMode="External"/><Relationship Id="rId489" Type="http://schemas.openxmlformats.org/officeDocument/2006/relationships/hyperlink" Target="../../NUVU-Proyectos/Shared%20Documents/Forms/AllItems.aspx?viewid=1dd39751%2D8a05%2D4043%2D9a9c%2D470bed0d9f3c&amp;ga=1&amp;id=%2Fsites%2FNUVU%2DProyectos%2FShared%20Documents%2FF%2FFiduagraria%2FSmartcash%2F%5BP0000%5D%20%2D%20Smartcash%20Operaci%C3%B3n%202026%2F01%2E%20Documentaci%C3%B3n%20esencial%2F01%2E%20Contrato%2FOTROSI%204%20CTO%20032%2D2021%2E%20HIGH%20TECH%2Epdf&amp;parent=%2Fsites%2FNUVU%2DProyectos%2FShared%20Documents%2FF%2FFiduagraria%2FSmartcash%2F%5BP0000%5D%20%2D%20Smartcash%20Operaci%C3%B3n%202026%2F01%2E%20Documentaci%C3%B3n%20esencial%2F01%2E%20Contrato" TargetMode="External"/><Relationship Id="rId654" Type="http://schemas.openxmlformats.org/officeDocument/2006/relationships/hyperlink" Target="../../../:f:/s/NUVU-Proyectos/IgCLMe-bikisRa9wML9SmoCAARYQ_HhgHLhPZC9lqfdrOYo?e=HxWv0b" TargetMode="External"/><Relationship Id="rId46" Type="http://schemas.openxmlformats.org/officeDocument/2006/relationships/hyperlink" Target="mailto:alejandra.gomez@blend360.com" TargetMode="External"/><Relationship Id="rId293" Type="http://schemas.openxmlformats.org/officeDocument/2006/relationships/hyperlink" Target="mailto:alejandra.gomez@blend360.com" TargetMode="External"/><Relationship Id="rId307" Type="http://schemas.openxmlformats.org/officeDocument/2006/relationships/hyperlink" Target="mailto:juan.bernal@blend360.com" TargetMode="External"/><Relationship Id="rId349" Type="http://schemas.openxmlformats.org/officeDocument/2006/relationships/hyperlink" Target="../../../:f:/s/NUVU-Proyectos/EvC-Quqi7xpNrpd2JphNWOkBTyTDM96P_ouQ27_Nhq3VHA?e=ktATn5" TargetMode="External"/><Relationship Id="rId514" Type="http://schemas.openxmlformats.org/officeDocument/2006/relationships/hyperlink" Target="mailto:carlos.sierra@blend360.com" TargetMode="External"/><Relationship Id="rId556" Type="http://schemas.openxmlformats.org/officeDocument/2006/relationships/hyperlink" Target="mailto:carlos.sierra@blend360.com" TargetMode="External"/><Relationship Id="rId88" Type="http://schemas.openxmlformats.org/officeDocument/2006/relationships/hyperlink" Target="mailto:marcela.sanchez@blend360.com" TargetMode="External"/><Relationship Id="rId111" Type="http://schemas.openxmlformats.org/officeDocument/2006/relationships/hyperlink" Target="mailto:nicolas.revollo@blend360.com" TargetMode="External"/><Relationship Id="rId153" Type="http://schemas.openxmlformats.org/officeDocument/2006/relationships/hyperlink" Target="mailto:nicolas.revollo@blend360.com" TargetMode="External"/><Relationship Id="rId195" Type="http://schemas.openxmlformats.org/officeDocument/2006/relationships/hyperlink" Target="mailto:karen.arandia@nuvu.cc" TargetMode="External"/><Relationship Id="rId209" Type="http://schemas.openxmlformats.org/officeDocument/2006/relationships/hyperlink" Target="mailto:nicolas.revollo@blend360.com" TargetMode="External"/><Relationship Id="rId360" Type="http://schemas.openxmlformats.org/officeDocument/2006/relationships/hyperlink" Target="../../../:f:/s/NUVU-Proyectos/EoCgS_u3-85FjOn2YqyVS0cB8sopM0KfNugvwFhaYz1e8g?e=IK06Yf" TargetMode="External"/><Relationship Id="rId416" Type="http://schemas.openxmlformats.org/officeDocument/2006/relationships/hyperlink" Target="../../NUVU-Proyectos/Shared%20Documents/Forms/AllItems.aspx?id=%2Fsites%2FNUVU%2DProyectos%2FShared%20Documents%2FU%2FUniversidad%20Nacional%2FOSES%202025%2F%5BP0355%5D%20Dinara%2F00%2E%20Administrativos&amp;viewid=1dd39751%2D8a05%2D4043%2D9a9c%2D470bed0d9f3c&amp;newTargetListUrl=%2Fsites%2FNUVU%2DProyectos%2FShared%20Documents&amp;viewpath=%2Fsites%2FNUVU%2DProyectos%2FShared%20Documents%2FForms%2FAllItems%2Easpx" TargetMode="External"/><Relationship Id="rId598" Type="http://schemas.openxmlformats.org/officeDocument/2006/relationships/hyperlink" Target="../../../:f:/s/NUVU-Proyectos/IgDU8khD8Lz9SLZapm9MGjV1AWd1s0_r4Q-gMQ4vE0YK8TE?e=lGVD5j" TargetMode="External"/><Relationship Id="rId220" Type="http://schemas.openxmlformats.org/officeDocument/2006/relationships/hyperlink" Target="mailto:alejandra.gomez@blend360.com" TargetMode="External"/><Relationship Id="rId458" Type="http://schemas.openxmlformats.org/officeDocument/2006/relationships/hyperlink" Target="../../NUVU-Comercial/Shared%20Documents/Forms/AllItems.aspx?id=%2Fsites%2FNUVU%2DComercial%2FShared%20Documents%2FI%2FICFES%20%2D%20Instituto%20Colombiano%20para%20la%20Evaluaci%C3%B3n%20de%20la%20Educaci%C3%B3n%2F2025%2FRenovaci%C3%B3n%20Datalake%202025%20Fase%202%2FArtefactos%20finales%20icfes%20Datalake%20Nov%202025%20%2D%20Ene%202026&amp;viewid=1dd39751%2D8a05%2D4043%2D9a9c%2D470bed0d9f3c&amp;newTargetListUrl=%2Fsites%2FNUVU%2DComercial%2FShared%20Documents&amp;viewpath=%2Fsites%2FNUVU%2DComercial%2FShared%20Documents%2FForms%2FAllItems%2Easpx" TargetMode="External"/><Relationship Id="rId623" Type="http://schemas.openxmlformats.org/officeDocument/2006/relationships/hyperlink" Target="../../../:f:/s/NUVU-Proyectos/IgDzQyMB5C_lQrS--BABL_d9AX9OBaGmiQdnYe4104_KIZY?e=glIHN2" TargetMode="External"/><Relationship Id="rId665" Type="http://schemas.openxmlformats.org/officeDocument/2006/relationships/hyperlink" Target="../../../:f:/s/NUVU-Proyectos/IgBXmGT0h5ZhRbIntlv-9e9eAXUe7wul4xM5eoPsl85gWLo?e=aaQum0" TargetMode="External"/><Relationship Id="rId15" Type="http://schemas.openxmlformats.org/officeDocument/2006/relationships/hyperlink" Target="https://drive.google.com/file/d/1WwhsK86PyM0sKPlvQ7Bc7xzU6D_JqaMx/view?usp=drive_link" TargetMode="External"/><Relationship Id="rId57" Type="http://schemas.openxmlformats.org/officeDocument/2006/relationships/hyperlink" Target="mailto:fernando.ortega@blend360.com" TargetMode="External"/><Relationship Id="rId262" Type="http://schemas.openxmlformats.org/officeDocument/2006/relationships/hyperlink" Target="../../../:f:/r/sites/NUVU-Legal/Shared%20Documents/Gesti%C3%B3n%20Contractual/Contratos%20Clientes%20y%20Proveedores/Contratos%20Clientes/C/Coljuegos%20S.A?csf=1&amp;web=1&amp;e=dBSOh7" TargetMode="External"/><Relationship Id="rId318" Type="http://schemas.openxmlformats.org/officeDocument/2006/relationships/hyperlink" Target="mailto:karen.arandia@nuvu.cc" TargetMode="External"/><Relationship Id="rId525" Type="http://schemas.openxmlformats.org/officeDocument/2006/relationships/hyperlink" Target="mailto:carlos.sierra@blend360.com" TargetMode="External"/><Relationship Id="rId567" Type="http://schemas.openxmlformats.org/officeDocument/2006/relationships/hyperlink" Target="mailto:juan.bernal@blend360.com" TargetMode="External"/><Relationship Id="rId99" Type="http://schemas.openxmlformats.org/officeDocument/2006/relationships/hyperlink" Target="mailto:moises.rojas@blend360.com" TargetMode="External"/><Relationship Id="rId122" Type="http://schemas.openxmlformats.org/officeDocument/2006/relationships/hyperlink" Target="https://drive.google.com/drive/folders/16SAZSrznaM2MTPbdi5HRcOIhH0scT5r8" TargetMode="External"/><Relationship Id="rId164" Type="http://schemas.openxmlformats.org/officeDocument/2006/relationships/hyperlink" Target="https://drive.google.com/drive/folders/1X4iELvATSIXxv9fAYa9XJVZ8gAnjLE8l" TargetMode="External"/><Relationship Id="rId371" Type="http://schemas.openxmlformats.org/officeDocument/2006/relationships/hyperlink" Target="../../../:f:/s/NUVU-Proyectos/EowfoHQKTrhJixTT_ESWEO8B5eNpVzKCENHdN5lpb3nNbg?e=enmDlb" TargetMode="External"/><Relationship Id="rId427" Type="http://schemas.openxmlformats.org/officeDocument/2006/relationships/hyperlink" Target="../../NUVU-Proyectos/Shared%20Documents/Forms/AllItems.aspx?id=%2Fsites%2FNUVU%2DProyectos%2FShared%20Documents%2FA%2FADRES%2F%5BP2294%5D%20%2D%20ADR%20%2D%20MVP%20auditorias%2F00%20Administrativos%2FHabilitadores&amp;viewid=1dd39751%2D8a05%2D4043%2D9a9c%2D470bed0d9f3c" TargetMode="External"/><Relationship Id="rId469" Type="http://schemas.openxmlformats.org/officeDocument/2006/relationships/hyperlink" Target="mailto:alejandra.gomez@blend360.com" TargetMode="External"/><Relationship Id="rId634" Type="http://schemas.openxmlformats.org/officeDocument/2006/relationships/hyperlink" Target="../../../:f:/s/NUVU-Proyectos/IgA2Iy_o-U9_SbFWAwqNh0C9AUupumQKR6X1Kr0RSl2aMAo?e=HV3ZF2" TargetMode="External"/><Relationship Id="rId676" Type="http://schemas.openxmlformats.org/officeDocument/2006/relationships/hyperlink" Target="https://wgcp.sharepoint.com/:x:/s/NUVU-Proyectos/IQAjb8s4x35kRZxcaTVUtbUNAZephudcpOtMiG8kM9tesVI?e=12tXbC" TargetMode="External"/><Relationship Id="rId26" Type="http://schemas.openxmlformats.org/officeDocument/2006/relationships/hyperlink" Target="../../../:f:/s/NUVU-Proyectos/EgDdQ4U_X7FFiOVftwvkTz4BgZQTfoPqpqHajrY5YwNtjw?e=mF2IaQ" TargetMode="External"/><Relationship Id="rId231" Type="http://schemas.openxmlformats.org/officeDocument/2006/relationships/hyperlink" Target="mailto:juan.bernal@blend360.com" TargetMode="External"/><Relationship Id="rId273" Type="http://schemas.openxmlformats.org/officeDocument/2006/relationships/hyperlink" Target="mailto:ciliana.capera@blend360.com" TargetMode="External"/><Relationship Id="rId329" Type="http://schemas.openxmlformats.org/officeDocument/2006/relationships/hyperlink" Target="mailto:moises.rojas@blend360.com" TargetMode="External"/><Relationship Id="rId480" Type="http://schemas.openxmlformats.org/officeDocument/2006/relationships/hyperlink" Target="../../../:f:/s/NUVU-Proyectos/IgBkuHyE0GRvTaPHfuwcrbSbAeLKiKNVD_faqLYiTwO3wKQ?e=BdGqmM" TargetMode="External"/><Relationship Id="rId536" Type="http://schemas.openxmlformats.org/officeDocument/2006/relationships/hyperlink" Target="https://francisco.rosas@blend360.com/" TargetMode="External"/><Relationship Id="rId68" Type="http://schemas.openxmlformats.org/officeDocument/2006/relationships/hyperlink" Target="mailto:nicolas.revollo@blend360.com" TargetMode="External"/><Relationship Id="rId133" Type="http://schemas.openxmlformats.org/officeDocument/2006/relationships/hyperlink" Target="../../NUVU-Comercial/Shared%20Documents/Forms/AllItems.aspx?id=%2Fsites%2FNUVU%2DComercial%2FShared%20Documents%2FU%2FUniversidad%20Nacional%20de%20Colombia%2F2025%2F01%2E%20Acuerdo%20Marco%2FAcuerdo%20y%20Adiciones%2FOSES%2FDivisi%C3%B3n%20Extensi%C3%B3n&amp;p=true&amp;CT=1745948383954&amp;OR=OWA%2DNT%2DMail&amp;CID=d414a553%2Dbfe1%2D99ba%2D35a5%2D68e74f7f74f3&amp;ga=1" TargetMode="External"/><Relationship Id="rId175" Type="http://schemas.openxmlformats.org/officeDocument/2006/relationships/hyperlink" Target="https://drive.google.com/drive/folders/16SAZSrznaM2MTPbdi5HRcOIhH0scT5r8" TargetMode="External"/><Relationship Id="rId340" Type="http://schemas.openxmlformats.org/officeDocument/2006/relationships/hyperlink" Target="mailto:alejandra.gomez@blend360.com" TargetMode="External"/><Relationship Id="rId578" Type="http://schemas.openxmlformats.org/officeDocument/2006/relationships/hyperlink" Target="mailto:juan.bernal@blend360.com" TargetMode="External"/><Relationship Id="rId200" Type="http://schemas.openxmlformats.org/officeDocument/2006/relationships/hyperlink" Target="https://drive.google.com/drive/folders/1Qkin2knSCnP-d1UJtDU-JRa9XMNgBM5f" TargetMode="External"/><Relationship Id="rId382" Type="http://schemas.openxmlformats.org/officeDocument/2006/relationships/hyperlink" Target="../../../:f:/s/NUVU-Proyectos/EiWr1Td-njlKokzAyHhTpqMBFxRhCvD9tWugCvDEmAXnng?e=YYmWWz" TargetMode="External"/><Relationship Id="rId438" Type="http://schemas.openxmlformats.org/officeDocument/2006/relationships/hyperlink" Target="../../NUVU-Proyectos/Shared%20Documents/Forms/AllItems.aspx?id=%2Fsites%2FNUVU%2DProyectos%2FShared%20Documents%2FA%2FAlcaldia%20de%20Cali%2F%5BP2604%5D%20ACA%20%2D%20Hacienda%20a%20un%20Click&amp;viewid=1dd39751%2D8a05%2D4043%2D9a9c%2D470bed0d9f3c" TargetMode="External"/><Relationship Id="rId603" Type="http://schemas.openxmlformats.org/officeDocument/2006/relationships/hyperlink" Target="https://wgcp.sharepoint.com/:x:/s/NUVU-Proyectos/IQDn7IlRVbplT7URh6HRz5WgAbLpz7B2NSK980oXUVUdj-Q?e=j9fTan" TargetMode="External"/><Relationship Id="rId645" Type="http://schemas.openxmlformats.org/officeDocument/2006/relationships/hyperlink" Target="../../../:f:/s/NUVU-Proyectos/IgA1W9Tqfp8mQZA3BHIj_OgFAShugM4Us0Ga5LICOcO39oA?e=8dTJMn" TargetMode="External"/><Relationship Id="rId687" Type="http://schemas.openxmlformats.org/officeDocument/2006/relationships/table" Target="../tables/table1.xml"/><Relationship Id="rId242" Type="http://schemas.openxmlformats.org/officeDocument/2006/relationships/hyperlink" Target="../../NUVU-Proyectos/Shared%20Documents/Forms/AllItems.aspx?id=%2Fsites%2FNUVU%2DProyectos%2FShared%20Documents%2FP%2FPolic%C3%ADa%20Nacional%2F2025%2F%5BP0347%5D%20%2D%20PON%20%2D%20IAPOL%2DG%20%2D%20IA%20Generativa&amp;viewid=1dd39751%2D8a05%2D4043%2D9a9c%2D470bed0d9f3c" TargetMode="External"/><Relationship Id="rId284" Type="http://schemas.openxmlformats.org/officeDocument/2006/relationships/hyperlink" Target="mailto:moises.rojas@blend360.com" TargetMode="External"/><Relationship Id="rId491" Type="http://schemas.openxmlformats.org/officeDocument/2006/relationships/hyperlink" Target="../../../:f:/s/NUVU-Proyectos/En6SRDZPljZMm6Bf8FjWEYsBHMnGmGQW9m51yCMebHJKaw?e=BnddNS" TargetMode="External"/><Relationship Id="rId505" Type="http://schemas.openxmlformats.org/officeDocument/2006/relationships/hyperlink" Target="mailto:carlos.sierra@blend360.com" TargetMode="External"/><Relationship Id="rId37" Type="http://schemas.openxmlformats.org/officeDocument/2006/relationships/hyperlink" Target="mailto:marcela.sanchez@blend360.com" TargetMode="External"/><Relationship Id="rId79" Type="http://schemas.openxmlformats.org/officeDocument/2006/relationships/hyperlink" Target="mailto:juan.bernal@blend360.com" TargetMode="External"/><Relationship Id="rId102" Type="http://schemas.openxmlformats.org/officeDocument/2006/relationships/hyperlink" Target="mailto:marcela.sanchez@blend360.com" TargetMode="External"/><Relationship Id="rId144" Type="http://schemas.openxmlformats.org/officeDocument/2006/relationships/hyperlink" Target="../../../:f:/r/sites/NUVU-Legal/Shared%20Documents/Gesti%C3%B3n%20Contractual/Contratos%20Clientes%20y%20Proveedores/Contratos%20Clientes/C/Coljuegos%20S.A?csf=1&amp;web=1&amp;e=dBSOh7" TargetMode="External"/><Relationship Id="rId547" Type="http://schemas.openxmlformats.org/officeDocument/2006/relationships/hyperlink" Target="../../../:f:/s/NUVU-Proyectos/En6SRDZPljZMm6Bf8FjWEYsBHMnGmGQW9m51yCMebHJKaw?e=BnddNS" TargetMode="External"/><Relationship Id="rId589" Type="http://schemas.openxmlformats.org/officeDocument/2006/relationships/hyperlink" Target="https://wgcp.sharepoint.com/:x:/s/NUVU-Proyectos/IQDYXehpcE2pTZm1uzYybKHIAWnVQHAR2DfxBQR_M3SNf_M?e=Seo4SB" TargetMode="External"/><Relationship Id="rId90" Type="http://schemas.openxmlformats.org/officeDocument/2006/relationships/hyperlink" Target="mailto:daniela.munoz@blend360.com" TargetMode="External"/><Relationship Id="rId186" Type="http://schemas.openxmlformats.org/officeDocument/2006/relationships/hyperlink" Target="mailto:alejandra.gomez@blend360.com" TargetMode="External"/><Relationship Id="rId351" Type="http://schemas.openxmlformats.org/officeDocument/2006/relationships/hyperlink" Target="../../../:f:/s/NUVU-Proyectos/EqBuSQ7YCJxGmO8MUC_HyUkBFU8LQa4vio2ub9bKkqAtxQ?e=9Dht22" TargetMode="External"/><Relationship Id="rId393" Type="http://schemas.openxmlformats.org/officeDocument/2006/relationships/hyperlink" Target="../../NUVU-Proyectos/Shared%20Documents/Forms/AllItems.aspx?id=%2Fsites%2FNUVU%2DProyectos%2FShared%20Documents%2FM%2FMintic%2F%5BP0309%5D%20MTI%20%2D%20Microcentros%20AI%2F01%2E%20Documentaci%C3%B3n%20Esencial&amp;viewid=1dd39751%2D8a05%2D4043%2D9a9c%2D470bed0d9f3c" TargetMode="External"/><Relationship Id="rId407" Type="http://schemas.openxmlformats.org/officeDocument/2006/relationships/hyperlink" Target="../../NUVU-Proyectos/Shared%20Documents/Forms/AllItems.aspx?id=%2Fsites%2FNUVU%2DProyectos%2FShared%20Documents%2FU%2FUniversidad%20Nacional%2FOSES%202025%2F%5BP0336%5D%20UNA%20Gesti%C3%B3n%20de%20Informaci%C3%B3n%2F00%2E%20Administrativo&amp;viewid=1dd39751%2D8a05%2D4043%2D9a9c%2D470bed0d9f3c" TargetMode="External"/><Relationship Id="rId449" Type="http://schemas.openxmlformats.org/officeDocument/2006/relationships/hyperlink" Target="../../NUVU-Comercial/Shared%20Documents/Forms/AllItems.aspx?id=%2Fsites%2FNUVU%2DComercial%2FShared%20Documents%2FI%2FICFES%20%2D%20Instituto%20Colombiano%20para%20la%20Evaluaci%C3%B3n%20de%20la%20Educaci%C3%B3n%2F2025%2FMigracion%20Infraestructura%2FOperac%C3%B3n%20en%20AWS%20a%20partir%20de%20oct%202025&amp;viewid=1dd39751%2D8a05%2D4043%2D9a9c%2D470bed0d9f3c&amp;newTargetListUrl=%2Fsites%2FNUVU%2DComercial%2FShared%20Documents&amp;viewpath=%2Fsites%2FNUVU%2DComercial%2FShared%20Documents%2FForms%2FAllItems%2Easpx" TargetMode="External"/><Relationship Id="rId614" Type="http://schemas.openxmlformats.org/officeDocument/2006/relationships/hyperlink" Target="https://francisco.rosas@blend360.com/" TargetMode="External"/><Relationship Id="rId656" Type="http://schemas.openxmlformats.org/officeDocument/2006/relationships/hyperlink" Target="../../../:f:/s/NUVU-Proyectos/IgBrhPyX3-cbRI2_Ie_LQpfpARfry4MBgIsdqFO8_PEBUsY?e=FgJDl9" TargetMode="External"/><Relationship Id="rId211" Type="http://schemas.openxmlformats.org/officeDocument/2006/relationships/hyperlink" Target="mailto:karen.arandia@nuvu.cc" TargetMode="External"/><Relationship Id="rId253" Type="http://schemas.openxmlformats.org/officeDocument/2006/relationships/hyperlink" Target="../../NUVU-Comercial/Shared%20Documents/Forms/AllItems.aspx?id=%2Fsites%2FNUVU%2DComercial%2FShared%20Documents%2FU%2FUniversidad%20Nacional%20de%20Colombia&amp;viewid=1dd39751%2D8a05%2D4043%2D9a9c%2D470bed0d9f3c&amp;p=true&amp;CT=1745808306265&amp;OR=OWA%2DNT%2DMail&amp;CID=ad2b5c58%2D60e1%2D9b02%2D67ca%2Da499d3dcc575&amp;ga=1" TargetMode="External"/><Relationship Id="rId295" Type="http://schemas.openxmlformats.org/officeDocument/2006/relationships/hyperlink" Target="mailto:diana.rojas@blend360.com" TargetMode="External"/><Relationship Id="rId309" Type="http://schemas.openxmlformats.org/officeDocument/2006/relationships/hyperlink" Target="mailto:moises.rojas@blend360.com" TargetMode="External"/><Relationship Id="rId460" Type="http://schemas.openxmlformats.org/officeDocument/2006/relationships/hyperlink" Target="mailto:alejandra.gomez@blend360.com" TargetMode="External"/><Relationship Id="rId516" Type="http://schemas.openxmlformats.org/officeDocument/2006/relationships/hyperlink" Target="mailto:carlos.sierra@blend360.com" TargetMode="External"/><Relationship Id="rId48" Type="http://schemas.openxmlformats.org/officeDocument/2006/relationships/hyperlink" Target="mailto:alejandra.gomez@blend360.com" TargetMode="External"/><Relationship Id="rId113" Type="http://schemas.openxmlformats.org/officeDocument/2006/relationships/hyperlink" Target="mailto:samuel.escobar@blend360.com" TargetMode="External"/><Relationship Id="rId320" Type="http://schemas.openxmlformats.org/officeDocument/2006/relationships/hyperlink" Target="mailto:daniela.munoz@blend360.com" TargetMode="External"/><Relationship Id="rId558" Type="http://schemas.openxmlformats.org/officeDocument/2006/relationships/hyperlink" Target="mailto:carlos.sierra@blend360.com" TargetMode="External"/><Relationship Id="rId155" Type="http://schemas.openxmlformats.org/officeDocument/2006/relationships/hyperlink" Target="mailto:ciliana.capera@blend360.com" TargetMode="External"/><Relationship Id="rId197" Type="http://schemas.openxmlformats.org/officeDocument/2006/relationships/hyperlink" Target="mailto:karen.arandia@nuvu.cc" TargetMode="External"/><Relationship Id="rId362" Type="http://schemas.openxmlformats.org/officeDocument/2006/relationships/hyperlink" Target="../../../:f:/s/NUVU-Proyectos/EoCgS_u3-85FjOn2YqyVS0cB8sopM0KfNugvwFhaYz1e8g?e=IK06Yf" TargetMode="External"/><Relationship Id="rId418" Type="http://schemas.openxmlformats.org/officeDocument/2006/relationships/hyperlink" Target="../../NUVU-Proyectos/Shared%20Documents/Forms/AllItems.aspx?id=%2Fsites%2FNUVU%2DProyectos%2FShared%20Documents%2FU%2FUniversidad%20Nacional%2FOSES%202025%2F%5BP0360%5D%20Gesti%C3%B3n%20ambiental%2F00%2E%20Administrativos&amp;viewid=1dd39751%2D8a05%2D4043%2D9a9c%2D470bed0d9f3c&amp;newTargetListUrl=%2Fsites%2FNUVU%2DProyectos%2FShared%20Documents&amp;viewpath=%2Fsites%2FNUVU%2DProyectos%2FShared%20Documents%2FForms%2FAllItems%2Easpx" TargetMode="External"/><Relationship Id="rId625" Type="http://schemas.openxmlformats.org/officeDocument/2006/relationships/hyperlink" Target="../../../:f:/s/NUVU-Proyectos/IgA2Iy_o-U9_SbFWAwqNh0C9AUupumQKR6X1Kr0RSl2aMAo?e=HV3ZF2" TargetMode="External"/><Relationship Id="rId222" Type="http://schemas.openxmlformats.org/officeDocument/2006/relationships/hyperlink" Target="mailto:carlos.sierra@blend360.com" TargetMode="External"/><Relationship Id="rId264" Type="http://schemas.openxmlformats.org/officeDocument/2006/relationships/hyperlink" Target="../../../:f:/s/NUVU-Proyectos/EnKr9BIZ2KhLltXalrhCErAB0g8zR33QuKnbG5rqur8s_g?e=DMsbDw" TargetMode="External"/><Relationship Id="rId471" Type="http://schemas.openxmlformats.org/officeDocument/2006/relationships/hyperlink" Target="../../NUVU-Proyectos/Shared%20Documents/Forms/AllItems.aspx?id=%2Fsites%2FNUVU%2DProyectos%2FShared%20Documents%2FU%2FUniversidad%20Nacional%2FOSES%202025%2F%5BP0353%5D%20Moodle%20Extension%20Cloud%2F00%2E%20Administrativos&amp;viewid=1dd39751%2D8a05%2D4043%2D9a9c%2D470bed0d9f3c&amp;newTargetListUrl=%2Fsites%2FNUVU%2DProyectos%2FShared%20Documents&amp;viewpath=%2Fsites%2FNUVU%2DProyectos%2FShared%20Documents%2FForms%2FAllItems%2Easpx" TargetMode="External"/><Relationship Id="rId667" Type="http://schemas.openxmlformats.org/officeDocument/2006/relationships/hyperlink" Target="../../../:f:/s/NUVU-Proyectos/IgD-faO9KoZASJ41xkZuuOrcAbzsy9W0mHX0_oTHesbEKh0?e=2Kub58" TargetMode="External"/><Relationship Id="rId17" Type="http://schemas.openxmlformats.org/officeDocument/2006/relationships/hyperlink" Target="https://drive.google.com/file/d/1FtgoDj0z43-IFpzVCJt-Lv7hlcwyo6X1/view?usp=drive_link" TargetMode="External"/><Relationship Id="rId59" Type="http://schemas.openxmlformats.org/officeDocument/2006/relationships/hyperlink" Target="mailto:alejandra.gomez@blend360.com" TargetMode="External"/><Relationship Id="rId124" Type="http://schemas.openxmlformats.org/officeDocument/2006/relationships/hyperlink" Target="mailto:alejandra.gomez@blend360.com" TargetMode="External"/><Relationship Id="rId527" Type="http://schemas.openxmlformats.org/officeDocument/2006/relationships/hyperlink" Target="mailto:carlos.sierra@blend360.com" TargetMode="External"/><Relationship Id="rId569" Type="http://schemas.openxmlformats.org/officeDocument/2006/relationships/hyperlink" Target="mailto:juan.bernal@blend360.com" TargetMode="External"/><Relationship Id="rId70" Type="http://schemas.openxmlformats.org/officeDocument/2006/relationships/hyperlink" Target="mailto:nicolas.revollo@blend360.com" TargetMode="External"/><Relationship Id="rId166" Type="http://schemas.openxmlformats.org/officeDocument/2006/relationships/hyperlink" Target="mailto:alejandra.gomez@blend360.com" TargetMode="External"/><Relationship Id="rId331" Type="http://schemas.openxmlformats.org/officeDocument/2006/relationships/hyperlink" Target="mailto:ciliana.capera@blend360.com" TargetMode="External"/><Relationship Id="rId373" Type="http://schemas.openxmlformats.org/officeDocument/2006/relationships/hyperlink" Target="../../../:f:/s/NUVU-Proyectos/En6SRDZPljZMm6Bf8FjWEYsBHMnGmGQW9m51yCMebHJKaw?e=BnddNS" TargetMode="External"/><Relationship Id="rId429" Type="http://schemas.openxmlformats.org/officeDocument/2006/relationships/hyperlink" Target="../../../:b:/s/NUVU-Proyectos/ESkDD27ESSdGle5eFnDtJ48Bp_O_B_J-WKPkH-3pjpL82g?e=pHhc4Z" TargetMode="External"/><Relationship Id="rId580" Type="http://schemas.openxmlformats.org/officeDocument/2006/relationships/hyperlink" Target="mailto:juan.bernal@blend360.com" TargetMode="External"/><Relationship Id="rId636" Type="http://schemas.openxmlformats.org/officeDocument/2006/relationships/hyperlink" Target="../../../:f:/s/NUVU-Proyectos/IgA2Iy_o-U9_SbFWAwqNh0C9AUupumQKR6X1Kr0RSl2aMAo?e=HV3ZF2" TargetMode="External"/><Relationship Id="rId1" Type="http://schemas.openxmlformats.org/officeDocument/2006/relationships/hyperlink" Target="https://drive.google.com/drive/folders/1lfCCSnn6BFm5Fn2u0dDiRoK2r2xqGheQ" TargetMode="External"/><Relationship Id="rId233" Type="http://schemas.openxmlformats.org/officeDocument/2006/relationships/hyperlink" Target="mailto:moises.rojas@blend360.com" TargetMode="External"/><Relationship Id="rId440" Type="http://schemas.openxmlformats.org/officeDocument/2006/relationships/hyperlink" Target="../../../:f:/s/NUVU-Proyectos/IgAlBq7t1DExSrNqA-tEmWQuAYfLtdHjX61VqZkAWo-nToU?e=QaHUSV" TargetMode="External"/><Relationship Id="rId678" Type="http://schemas.openxmlformats.org/officeDocument/2006/relationships/hyperlink" Target="https://wgcp.sharepoint.com/:x:/s/NUVU-Proyectos/IQAjb8s4x35kRZxcaTVUtbUNAZephudcpOtMiG8kM9tesVI?e=12tXbC" TargetMode="External"/><Relationship Id="rId28" Type="http://schemas.openxmlformats.org/officeDocument/2006/relationships/hyperlink" Target="https://drive.google.com/drive/folders/1FAB2qA1eabH2i7dPglxBnOPRguVUXbh6" TargetMode="External"/><Relationship Id="rId275" Type="http://schemas.openxmlformats.org/officeDocument/2006/relationships/hyperlink" Target="mailto:marcela.sanchez@blend360.com" TargetMode="External"/><Relationship Id="rId300" Type="http://schemas.openxmlformats.org/officeDocument/2006/relationships/hyperlink" Target="mailto:moises.rojas@blend360.com" TargetMode="External"/><Relationship Id="rId482" Type="http://schemas.openxmlformats.org/officeDocument/2006/relationships/hyperlink" Target="../../../:f:/s/NUVU-Proyectos/IgBkuHyE0GRvTaPHfuwcrbSbAeLKiKNVD_faqLYiTwO3wKQ?e=BdGqmM" TargetMode="External"/><Relationship Id="rId538" Type="http://schemas.openxmlformats.org/officeDocument/2006/relationships/hyperlink" Target="../../../:f:/s/NUVU-Proyectos/IgAlBq7t1DExSrNqA-tEmWQuAYfLtdHjX61VqZkAWo-nToU?e=QaHUSV" TargetMode="External"/><Relationship Id="rId81" Type="http://schemas.openxmlformats.org/officeDocument/2006/relationships/hyperlink" Target="mailto:juan.bernal@blend360.com" TargetMode="External"/><Relationship Id="rId135" Type="http://schemas.openxmlformats.org/officeDocument/2006/relationships/hyperlink" Target="mailto:karen.arandia@nuvu.cc" TargetMode="External"/><Relationship Id="rId177" Type="http://schemas.openxmlformats.org/officeDocument/2006/relationships/hyperlink" Target="mailto:karen.arandia@nuvu.cc" TargetMode="External"/><Relationship Id="rId342" Type="http://schemas.openxmlformats.org/officeDocument/2006/relationships/hyperlink" Target="https://drive.google.com/drive/folders/1S6F4S4Z3RYSYXE5GL-pnR23zYwHbeLJJ" TargetMode="External"/><Relationship Id="rId384" Type="http://schemas.openxmlformats.org/officeDocument/2006/relationships/hyperlink" Target="../../../:f:/s/NUVU-Proyectos/Eld_-ym1ADVBmjaU9T-74OcBKJvKGzGbqoWZx7agDo61qQ?e=fBCVM1" TargetMode="External"/><Relationship Id="rId591" Type="http://schemas.openxmlformats.org/officeDocument/2006/relationships/hyperlink" Target="https://wgcp.sharepoint.com/:b:/s/NUVU-Proyectos/IQAspozvW_GiSJmNr2KQooczAZWsj59THoQ77Y-L_zMVgsM?e=XdnrCF" TargetMode="External"/><Relationship Id="rId605" Type="http://schemas.openxmlformats.org/officeDocument/2006/relationships/hyperlink" Target="https://wgcp.sharepoint.com/:w:/s/NUVU-Proyectos/IQCLKapOrdZQQZpRb7pSyHE3AfpKLqr_mH0YKGtSaoVx7B8?e=TBiUrS" TargetMode="External"/><Relationship Id="rId202" Type="http://schemas.openxmlformats.org/officeDocument/2006/relationships/hyperlink" Target="mailto:moises.rojas@blend360.com" TargetMode="External"/><Relationship Id="rId244" Type="http://schemas.openxmlformats.org/officeDocument/2006/relationships/hyperlink" Target="mailto:moises.rojas@blend360.com" TargetMode="External"/><Relationship Id="rId647" Type="http://schemas.openxmlformats.org/officeDocument/2006/relationships/hyperlink" Target="../../../:f:/s/NUVU-Proyectos/IgA1M3SkG59TRLFC9Q8ynEHYAab1bAkAVTQqCPI5WvT7Pyo?e=OMxjDO" TargetMode="External"/><Relationship Id="rId689" Type="http://schemas.microsoft.com/office/2017/10/relationships/threadedComment" Target="../threadedComments/threadedComment1.xml"/><Relationship Id="rId39" Type="http://schemas.openxmlformats.org/officeDocument/2006/relationships/hyperlink" Target="mailto:carolina.aleman@blend360.com" TargetMode="External"/><Relationship Id="rId286" Type="http://schemas.openxmlformats.org/officeDocument/2006/relationships/hyperlink" Target="mailto:nicolas.revollo@blend360.com" TargetMode="External"/><Relationship Id="rId451" Type="http://schemas.openxmlformats.org/officeDocument/2006/relationships/hyperlink" Target="../../NUVU-Comercial/Shared%20Documents/Forms/AllItems.aspx?id=%2Fsites%2FNUVU%2DComercial%2FShared%20Documents%2FI%2FICFES%20%2D%20Instituto%20Colombiano%20para%20la%20Evaluaci%C3%B3n%20de%20la%20Educaci%C3%B3n%2F2025%2FRenovaci%C3%B3n%20Datalake%202025%20Fase%202%2FArtefactos%20finales%20icfes%20Datalake%20Nov%202025%20%2D%20Ene%202026&amp;viewid=1dd39751%2D8a05%2D4043%2D9a9c%2D470bed0d9f3c&amp;newTargetListUrl=%2Fsites%2FNUVU%2DComercial%2FShared%20Documents&amp;viewpath=%2Fsites%2FNUVU%2DComercial%2FShared%20Documents%2FForms%2FAllItems%2Easpx" TargetMode="External"/><Relationship Id="rId493" Type="http://schemas.openxmlformats.org/officeDocument/2006/relationships/hyperlink" Target="mailto:juan.zambrano@blend360.com" TargetMode="External"/><Relationship Id="rId507" Type="http://schemas.openxmlformats.org/officeDocument/2006/relationships/hyperlink" Target="mailto:carlos.sierra@blend360.com" TargetMode="External"/><Relationship Id="rId549" Type="http://schemas.openxmlformats.org/officeDocument/2006/relationships/hyperlink" Target="mailto:carlos.sierra@blend360.com" TargetMode="External"/><Relationship Id="rId50" Type="http://schemas.openxmlformats.org/officeDocument/2006/relationships/hyperlink" Target="mailto:alejandra.gomez@blend360.com" TargetMode="External"/><Relationship Id="rId104" Type="http://schemas.openxmlformats.org/officeDocument/2006/relationships/hyperlink" Target="mailto:moises.rojas@blend360.com" TargetMode="External"/><Relationship Id="rId146" Type="http://schemas.openxmlformats.org/officeDocument/2006/relationships/hyperlink" Target="mailto:nicolas.revollo@blend360.com" TargetMode="External"/><Relationship Id="rId188" Type="http://schemas.openxmlformats.org/officeDocument/2006/relationships/hyperlink" Target="https://drive.google.com/drive/folders/1G0v-qHM_XqIqAPUDbz9H8ldoFd_uYKhR" TargetMode="External"/><Relationship Id="rId311" Type="http://schemas.openxmlformats.org/officeDocument/2006/relationships/hyperlink" Target="mailto:ciliana.capera@blend360.com" TargetMode="External"/><Relationship Id="rId353" Type="http://schemas.openxmlformats.org/officeDocument/2006/relationships/hyperlink" Target="../../../:f:/s/NUVU-Proyectos/EnKr9BIZ2KhLltXalrhCErAB0g8zR33QuKnbG5rqur8s_g?e=DMsbDw" TargetMode="External"/><Relationship Id="rId395" Type="http://schemas.openxmlformats.org/officeDocument/2006/relationships/hyperlink" Target="../../NUVU-Proyectos/Shared%20Documents/Forms/AllItems.aspx?id=%2Fsites%2FNUVU%2DProyectos%2FShared%20Documents%2FC%2FCAT%20%2D%20Catastro%20Distrital%2F%5BP2124%5D%20CAT%20%2D%20Agente%20Cognitivo%20e%20Infraestructura%20AWS%2F01%2E%20Documentaci%C3%B3n%20esencial%2F01%20%2D%20Habilitadores&amp;viewid=1dd39751%2D8a05%2D4043%2D9a9c%2D470bed0d9f3c" TargetMode="External"/><Relationship Id="rId409" Type="http://schemas.openxmlformats.org/officeDocument/2006/relationships/hyperlink" Target="../../NUVU-Proyectos/Shared%20Documents/Forms/AllItems.aspx?id=%2Fsites%2FNUVU%2DProyectos%2FShared%20Documents%2FU%2FUniversidad%20Nacional%2FOSES%202025%2F%5BP0305%5D%20Repositorio%20Cloud%2F00%2E%20Administrativos&amp;newTargetListUrl=%2Fsites%2FNUVU%2DProyectos%2FShared%20Documents&amp;viewpath=%2Fsites%2FNUVU%2DProyectos%2FShared%20Documents%2FForms%2FAllItems%2Easpx" TargetMode="External"/><Relationship Id="rId560" Type="http://schemas.openxmlformats.org/officeDocument/2006/relationships/hyperlink" Target="mailto:carlos.sierra@blend360.com" TargetMode="External"/><Relationship Id="rId92" Type="http://schemas.openxmlformats.org/officeDocument/2006/relationships/hyperlink" Target="mailto:karen.arandia@nuvu.cc" TargetMode="External"/><Relationship Id="rId213" Type="http://schemas.openxmlformats.org/officeDocument/2006/relationships/hyperlink" Target="mailto:marcela.sanchez@blend360.com" TargetMode="External"/><Relationship Id="rId420" Type="http://schemas.openxmlformats.org/officeDocument/2006/relationships/hyperlink" Target="../../NUVU-Proyectos/Shared%20Documents/Forms/AllItems.aspx?id=%2Fsites%2FNUVU%2DProyectos%2FShared%20Documents%2FU%2FUniversidad%20Nacional%2FOSES%202025%2F%5BP0295%5D%20Unisalud%2F00%2E%20Administrativos&amp;newTargetListUrl=%2Fsites%2FNUVU%2DProyectos%2FShared%20Documents&amp;viewpath=%2Fsites%2FNUVU%2DProyectos%2FShared%20Documents%2FForms%2FAllItems%2Easpx" TargetMode="External"/><Relationship Id="rId616" Type="http://schemas.openxmlformats.org/officeDocument/2006/relationships/hyperlink" Target="mailto:karen.arandia@nuvu.cc" TargetMode="External"/><Relationship Id="rId658" Type="http://schemas.openxmlformats.org/officeDocument/2006/relationships/hyperlink" Target="https://wgcp.sharepoint.com/:b:/s/NUVU-Proyectos/IQDJnsqiNVfpTbccOK-MQ9nYAT4UtSSUbWyU4m0aTKcDp14?e=UuYxnh" TargetMode="External"/><Relationship Id="rId255" Type="http://schemas.openxmlformats.org/officeDocument/2006/relationships/hyperlink" Target="mailto:ciliana.capera@blend360.com" TargetMode="External"/><Relationship Id="rId297" Type="http://schemas.openxmlformats.org/officeDocument/2006/relationships/hyperlink" Target="mailto:ciliana.capera@blend360.com" TargetMode="External"/><Relationship Id="rId462" Type="http://schemas.openxmlformats.org/officeDocument/2006/relationships/hyperlink" Target="../../NUVU-Proyectos/Shared%20Documents/Forms/AllItems.aspx?id=%2Fsites%2FNUVU%2DProyectos%2FShared%20Documents%2FM%2FMetro%20de%20Medell%C3%ADn%2F%5BP0388%5D%20Servicio%20de%20Dise%C3%B1o%20e%20Implementaci%C3%B3n%20de%20Inteligencia%20de%20Negocios%20y%20Anal%C3%ADtica%2F01%2E%20Documentaci%C3%B3n%20Esencial&amp;viewid=1dd39751%2D8a05%2D4043%2D9a9c%2D470bed0d9f3c" TargetMode="External"/><Relationship Id="rId518" Type="http://schemas.openxmlformats.org/officeDocument/2006/relationships/hyperlink" Target="mailto:carlos.sierra@blend360.com" TargetMode="External"/><Relationship Id="rId115" Type="http://schemas.openxmlformats.org/officeDocument/2006/relationships/hyperlink" Target="mailto:karen.arandia@nuvu.cc" TargetMode="External"/><Relationship Id="rId157" Type="http://schemas.openxmlformats.org/officeDocument/2006/relationships/hyperlink" Target="../../../:f:/s/NUVU-Proyectos/Esu3KjdKObJGg9b4Jn0VB4IBZJG0f2zgwVjqMy0dsL6Wcw?e=EwvPYe" TargetMode="External"/><Relationship Id="rId322" Type="http://schemas.openxmlformats.org/officeDocument/2006/relationships/hyperlink" Target="mailto:nicolas.revollo@blend360.com" TargetMode="External"/><Relationship Id="rId364" Type="http://schemas.openxmlformats.org/officeDocument/2006/relationships/hyperlink" Target="../../../:f:/s/NUVU-Proyectos/EkdbNixGBDtHtvqh1caU3VoB1bCkVnQr2AWWtKe3WST_gg?e=yGIcRa" TargetMode="External"/><Relationship Id="rId61" Type="http://schemas.openxmlformats.org/officeDocument/2006/relationships/hyperlink" Target="mailto:daniela.munoz@blend360.com" TargetMode="External"/><Relationship Id="rId199" Type="http://schemas.openxmlformats.org/officeDocument/2006/relationships/hyperlink" Target="mailto:nicolas.revollo@blend360.com" TargetMode="External"/><Relationship Id="rId571" Type="http://schemas.openxmlformats.org/officeDocument/2006/relationships/hyperlink" Target="mailto:juan.bernal@blend360.com" TargetMode="External"/><Relationship Id="rId627" Type="http://schemas.openxmlformats.org/officeDocument/2006/relationships/hyperlink" Target="https://wgcp.sharepoint.com/:b:/s/NUVU-Proyectos/IQCOjR1TlxgXRIKacgMieZNLAbFK799LmSHxwzdhvXRRlOs?e=ocf5tn" TargetMode="External"/><Relationship Id="rId669" Type="http://schemas.openxmlformats.org/officeDocument/2006/relationships/hyperlink" Target="../../../:f:/s/NUVU-Proyectos/IgBrhPyX3-cbRI2_Ie_LQpfpARfry4MBgIsdqFO8_PEBUsY?e=FgJDl9" TargetMode="External"/><Relationship Id="rId19" Type="http://schemas.openxmlformats.org/officeDocument/2006/relationships/hyperlink" Target="https://drive.google.com/file/d/1oxnAykqT43fRE8vx7MGU8Gags68IOxYR/view?usp=drive_link" TargetMode="External"/><Relationship Id="rId224" Type="http://schemas.openxmlformats.org/officeDocument/2006/relationships/hyperlink" Target="mailto:marcela.sanchez@blend360.com" TargetMode="External"/><Relationship Id="rId266" Type="http://schemas.openxmlformats.org/officeDocument/2006/relationships/hyperlink" Target="mailto:alejandra.gomez@blend360.com" TargetMode="External"/><Relationship Id="rId431" Type="http://schemas.openxmlformats.org/officeDocument/2006/relationships/hyperlink" Target="../../../:b:/s/NUVU-Proyectos/ESkDD27ESSdGle5eFnDtJ48Bp_O_B_J-WKPkH-3pjpL82g?e=pHhc4Z" TargetMode="External"/><Relationship Id="rId473" Type="http://schemas.openxmlformats.org/officeDocument/2006/relationships/hyperlink" Target="../../../:f:/s/NUVU-Comercial/IgAZcoHJVCWgQbsHaxwFVBU_AeLRtKCDpDAiMuGkcStHcPE?e=UnAK1p" TargetMode="External"/><Relationship Id="rId529" Type="http://schemas.openxmlformats.org/officeDocument/2006/relationships/hyperlink" Target="mailto:carlos.sierra@blend360.com" TargetMode="External"/><Relationship Id="rId680" Type="http://schemas.openxmlformats.org/officeDocument/2006/relationships/hyperlink" Target="https://wgcp.sharepoint.com/:p:/s/NUVU-Proyectos/IQCnpTuosSjATakDxvmEOGz4Ac5gmeWpLfd03L4f_UcmYsE?e=raq6RO" TargetMode="External"/><Relationship Id="rId30" Type="http://schemas.openxmlformats.org/officeDocument/2006/relationships/hyperlink" Target="https://drive.google.com/drive/u/0/folders/1YzbrEvndEMrjKCjzwbzOxFfgee0BpVw2" TargetMode="External"/><Relationship Id="rId126" Type="http://schemas.openxmlformats.org/officeDocument/2006/relationships/hyperlink" Target="../../NUVU-Comercial/Shared%20Documents/Forms/AllItems.aspx?id=%2Fsites%2FNUVU%2DComercial%2FShared%20Documents%2FU%2FUniversidad%20Nacional%20de%20Colombia&amp;viewid=1dd39751%2D8a05%2D4043%2D9a9c%2D470bed0d9f3c&amp;p=true&amp;CT=1745808306265&amp;OR=OWA%2DNT%2DMail&amp;CID=ad2b5c58%2D60e1%2D9b02%2D67ca%2Da499d3dcc575&amp;ga=1" TargetMode="External"/><Relationship Id="rId168" Type="http://schemas.openxmlformats.org/officeDocument/2006/relationships/hyperlink" Target="../../../:f:/s/NUVU-Proyectos/EtAyo01uscNJpnx-ZFpXIpsBsBRIf-Vv1cxj8o7ewSj8KQ?e=bPEFUs" TargetMode="External"/><Relationship Id="rId333" Type="http://schemas.openxmlformats.org/officeDocument/2006/relationships/hyperlink" Target="mailto:carolina.aleman@blend360.com" TargetMode="External"/><Relationship Id="rId540" Type="http://schemas.openxmlformats.org/officeDocument/2006/relationships/hyperlink" Target="mailto:alejandra.gomez@blend360.com" TargetMode="External"/><Relationship Id="rId72" Type="http://schemas.openxmlformats.org/officeDocument/2006/relationships/hyperlink" Target="mailto:nicolas.revollo@blend360.com" TargetMode="External"/><Relationship Id="rId375" Type="http://schemas.openxmlformats.org/officeDocument/2006/relationships/hyperlink" Target="../../../:f:/s/NUVU-Proyectos/EsvTnIt3BIBAnvzPx6cAHJsBf5NyJfTxI05iRYprgjbTwQ?e=J5LaLf" TargetMode="External"/><Relationship Id="rId582" Type="http://schemas.openxmlformats.org/officeDocument/2006/relationships/hyperlink" Target="mailto:juan.bernal@blend360.com" TargetMode="External"/><Relationship Id="rId638" Type="http://schemas.openxmlformats.org/officeDocument/2006/relationships/hyperlink" Target="../../../:f:/s/NUVU-Proyectos/IgDzQyMB5C_lQrS--BABL_d9AX9OBaGmiQdnYe4104_KIZY?e=glIHN2" TargetMode="External"/><Relationship Id="rId3" Type="http://schemas.openxmlformats.org/officeDocument/2006/relationships/hyperlink" Target="https://drive.google.com/drive/folders/1gkCNndZy0GmWqWmlDN4A-bMntclADHib" TargetMode="External"/><Relationship Id="rId235" Type="http://schemas.openxmlformats.org/officeDocument/2006/relationships/hyperlink" Target="mailto:ciliana.capera@blend360.com" TargetMode="External"/><Relationship Id="rId277" Type="http://schemas.openxmlformats.org/officeDocument/2006/relationships/hyperlink" Target="mailto:juan.bernal@blend360.com" TargetMode="External"/><Relationship Id="rId400" Type="http://schemas.openxmlformats.org/officeDocument/2006/relationships/hyperlink" Target="../../NUVU-Proyectos/Shared%20Documents/Forms/AllItems.aspx?id=%2Fsites%2FNUVU%2DProyectos%2FShared%20Documents%2FA%2FADRES%2F%5BP2294%5D%20%2D%20ADR%20%2D%20MVP%20auditorias%2F00%20Administrativos%2FHabilitadores&amp;viewid=1dd39751%2D8a05%2D4043%2D9a9c%2D470bed0d9f3c" TargetMode="External"/><Relationship Id="rId442" Type="http://schemas.openxmlformats.org/officeDocument/2006/relationships/hyperlink" Target="../../NUVU-Proyectos/Shared%20Documents/Forms/AllItems.aspx?id=%2Fsites%2FNUVU%2DProyectos%2FShared%20Documents%2FU%2FUniversidad%20Nacional%2FOSES%202025%2F%5BP0294%5D%20Regal%C3%ADas%20Sike%2F00%2E%20Administrativos&amp;newTargetListUrl=%2Fsites%2FNUVU%2DProyectos%2FShared%20Documents&amp;viewpath=%2Fsites%2FNUVU%2DProyectos%2FShared%20Documents%2FForms%2FAllItems%2Easpx" TargetMode="External"/><Relationship Id="rId484" Type="http://schemas.openxmlformats.org/officeDocument/2006/relationships/hyperlink" Target="../../../:f:/s/NUVU-Legal/IgCM47sl4OKZQZXdgdJHSLOSAQOpWLsfn53MGNu6FlV6t1I?e=vEFqPi" TargetMode="External"/><Relationship Id="rId137" Type="http://schemas.openxmlformats.org/officeDocument/2006/relationships/hyperlink" Target="../../NUVU-Comercial/Shared%20Documents/Forms/AllItems.aspx?id=%2Fsites%2FNUVU%2DComercial%2FShared%20Documents%2FU%2FUniversidad%20Nacional%20de%20Colombia%2F2025%2F01%2E%20Acuerdo%20Marco%2FAcuerdo%20y%20Adiciones%2FOSES%2FDivisi%C3%B3n%20Extensi%C3%B3n&amp;p=true&amp;CT=1745948383954&amp;OR=OWA%2DNT%2DMail&amp;CID=d414a553%2Dbfe1%2D99ba%2D35a5%2D68e74f7f74f3&amp;ga=1" TargetMode="External"/><Relationship Id="rId302" Type="http://schemas.openxmlformats.org/officeDocument/2006/relationships/hyperlink" Target="mailto:ciliana.capera@blend360.com" TargetMode="External"/><Relationship Id="rId344" Type="http://schemas.openxmlformats.org/officeDocument/2006/relationships/hyperlink" Target="mailto:moises.rojas@blend360.com" TargetMode="External"/><Relationship Id="rId41" Type="http://schemas.openxmlformats.org/officeDocument/2006/relationships/hyperlink" Target="mailto:alejandra.gomez@blend360.com" TargetMode="External"/><Relationship Id="rId83" Type="http://schemas.openxmlformats.org/officeDocument/2006/relationships/hyperlink" Target="mailto:karen.arandia@nuvu.cc" TargetMode="External"/><Relationship Id="rId179" Type="http://schemas.openxmlformats.org/officeDocument/2006/relationships/hyperlink" Target="mailto:juan.bernal@blend360.com" TargetMode="External"/><Relationship Id="rId386" Type="http://schemas.openxmlformats.org/officeDocument/2006/relationships/hyperlink" Target="../../../:f:/s/NUVU-Proyectos/Eld_-ym1ADVBmjaU9T-74OcBKJvKGzGbqoWZx7agDo61qQ?e=fBCVM1" TargetMode="External"/><Relationship Id="rId551" Type="http://schemas.openxmlformats.org/officeDocument/2006/relationships/hyperlink" Target="mailto:nicolas.revollo@blend360.com" TargetMode="External"/><Relationship Id="rId593" Type="http://schemas.openxmlformats.org/officeDocument/2006/relationships/hyperlink" Target="../../../:f:/s/NUVU-Proyectos/IgDU8khD8Lz9SLZapm9MGjV1AWd1s0_r4Q-gMQ4vE0YK8TE?e=lGVD5j" TargetMode="External"/><Relationship Id="rId607" Type="http://schemas.openxmlformats.org/officeDocument/2006/relationships/hyperlink" Target="../../../:f:/s/NUVU-Proyectos/IgAtAvyh6X1mSKPlTHfXRrIhAWuhTdkrUwKHWdKECHHj1oI?e=VBOJUv" TargetMode="External"/><Relationship Id="rId649" Type="http://schemas.openxmlformats.org/officeDocument/2006/relationships/hyperlink" Target="../../../:f:/s/NUVU-Proyectos/IgDtI3bo_u4FQIU-68o3nHimAfcWDaqXdzzCfvgtgG9UJKQ?e=hygw36" TargetMode="External"/><Relationship Id="rId190" Type="http://schemas.openxmlformats.org/officeDocument/2006/relationships/hyperlink" Target="mailto:moises.rojas@blend360.com" TargetMode="External"/><Relationship Id="rId204" Type="http://schemas.openxmlformats.org/officeDocument/2006/relationships/hyperlink" Target="mailto:karen.arandia@nuvu.cc" TargetMode="External"/><Relationship Id="rId246" Type="http://schemas.openxmlformats.org/officeDocument/2006/relationships/hyperlink" Target="../../../:p:/r/sites/NUVU-Proyectos/_layouts/15/Doc.aspx?sourcedoc=%7B53A53B99-3747-48B5-A8BC-8DEF2426CC41%7D&amp;file=Kickoff%20CSJ%20-%20MVP%20Digitalizaci%C3%B3n%20archivo%20fisico%20Bogot%C3%A1%20-%20Copia.pptx&amp;action=edit&amp;mobileredirect=true" TargetMode="External"/><Relationship Id="rId288" Type="http://schemas.openxmlformats.org/officeDocument/2006/relationships/hyperlink" Target="mailto:juan.bernal@blend360.com" TargetMode="External"/><Relationship Id="rId411" Type="http://schemas.openxmlformats.org/officeDocument/2006/relationships/hyperlink" Target="../../NUVU-Proyectos/Shared%20Documents/Forms/AllItems.aspx?id=%2Fsites%2FNUVU%2DProyectos%2FShared%20Documents%2FU%2FUniversidad%20Nacional%2FOSES%202025%2F%5BP0295%5D%20Unisalud%2F00%2E%20Administrativos&amp;newTargetListUrl=%2Fsites%2FNUVU%2DProyectos%2FShared%20Documents&amp;viewpath=%2Fsites%2FNUVU%2DProyectos%2FShared%20Documents%2FForms%2FAllItems%2Easpx" TargetMode="External"/><Relationship Id="rId453" Type="http://schemas.openxmlformats.org/officeDocument/2006/relationships/hyperlink" Target="../../NUVU-Comercial/Shared%20Documents/Forms/AllItems.aspx?id=%2Fsites%2FNUVU%2DComercial%2FShared%20Documents%2FI%2FICFES%20%2D%20Instituto%20Colombiano%20para%20la%20Evaluaci%C3%B3n%20de%20la%20Educaci%C3%B3n%2F2025%2FRenovaci%C3%B3n%20Datalake%202025%20Fase%202%2FArtefactos%20finales%20icfes%20Datalake%20Nov%202025%20%2D%20Ene%202026&amp;viewid=1dd39751%2D8a05%2D4043%2D9a9c%2D470bed0d9f3c&amp;newTargetListUrl=%2Fsites%2FNUVU%2DComercial%2FShared%20Documents&amp;viewpath=%2Fsites%2FNUVU%2DComercial%2FShared%20Documents%2FForms%2FAllItems%2Easpx" TargetMode="External"/><Relationship Id="rId509" Type="http://schemas.openxmlformats.org/officeDocument/2006/relationships/hyperlink" Target="mailto:carlos.sierra@blend360.com" TargetMode="External"/><Relationship Id="rId660" Type="http://schemas.openxmlformats.org/officeDocument/2006/relationships/hyperlink" Target="https://wgcp.sharepoint.com/:w:/s/NUVU-Proyectos/IQDzmanZ8F-jX9rAO6rN2zIiAdVcuDMVU-cSFrjvtAS5_y8?e=VWFPRl" TargetMode="External"/><Relationship Id="rId106" Type="http://schemas.openxmlformats.org/officeDocument/2006/relationships/hyperlink" Target="mailto:ciliana.capera@blend360.com" TargetMode="External"/><Relationship Id="rId313" Type="http://schemas.openxmlformats.org/officeDocument/2006/relationships/hyperlink" Target="mailto:moises.rojas@blend360.com" TargetMode="External"/><Relationship Id="rId495" Type="http://schemas.openxmlformats.org/officeDocument/2006/relationships/hyperlink" Target="mailto:juan.zambrano@blend360.com" TargetMode="External"/><Relationship Id="rId10" Type="http://schemas.openxmlformats.org/officeDocument/2006/relationships/hyperlink" Target="https://drive.google.com/file/d/1G3ikULRuvxHfqObVTTP4OO1KjFUMGpxK/view?usp=share_link" TargetMode="External"/><Relationship Id="rId52" Type="http://schemas.openxmlformats.org/officeDocument/2006/relationships/hyperlink" Target="mailto:alejandra.gomez@blend360.com" TargetMode="External"/><Relationship Id="rId94" Type="http://schemas.openxmlformats.org/officeDocument/2006/relationships/hyperlink" Target="mailto:karen.arandia@nuvu.cc" TargetMode="External"/><Relationship Id="rId148" Type="http://schemas.openxmlformats.org/officeDocument/2006/relationships/hyperlink" Target="../../NUVU-Proyectos/Shared%20Documents/Forms/AllItems.aspx?id=%2Fsites%2FNUVU%2DProyectos%2FShared%20Documents%2FU%2FUniversidad%20Nacional&amp;sortField=LinkFilename&amp;isAscending=true&amp;viewid=1dd39751%2D8a05%2D4043%2D9a9c%2D470bed0d9f3c&amp;CT=1747430562325&amp;OR=OWA%2DNT%2DMail&amp;CID=e9f8afa4%2Ddaa0%2Daa3d%2D3c26%2Daceec7c7ca03" TargetMode="External"/><Relationship Id="rId355" Type="http://schemas.openxmlformats.org/officeDocument/2006/relationships/hyperlink" Target="../../../:f:/s/NUVU-Proyectos/Ei9M587w-jdMtM8LCqlbNI0BCcmVLPz51nTL0AlciKRu-A?e=5QpWoj" TargetMode="External"/><Relationship Id="rId397" Type="http://schemas.openxmlformats.org/officeDocument/2006/relationships/hyperlink" Target="../../NUVU-Proyectos/Shared%20Documents/Forms/AllItems.aspx?id=%2Fsites%2FNUVU%2DProyectos%2FShared%20Documents%2FC%2FCAT%20%2D%20Catastro%20Distrital%2F%5BP2124%5D%20CAT%20%2D%20Agente%20Cognitivo%20e%20Infraestructura%20AWS%2F01%2E%20Documentaci%C3%B3n%20esencial%2F01%20%2D%20Habilitadores&amp;viewid=1dd39751%2D8a05%2D4043%2D9a9c%2D470bed0d9f3c" TargetMode="External"/><Relationship Id="rId520" Type="http://schemas.openxmlformats.org/officeDocument/2006/relationships/hyperlink" Target="mailto:carlos.sierra@blend360.com" TargetMode="External"/><Relationship Id="rId562" Type="http://schemas.openxmlformats.org/officeDocument/2006/relationships/hyperlink" Target="../../../:f:/s/NUVU-Proyectos/EigIuz4hpPtBj5V2MDV5PfkBtehrrUqLaWUDWxC41UqE-A?e=zjWO8i" TargetMode="External"/><Relationship Id="rId618" Type="http://schemas.openxmlformats.org/officeDocument/2006/relationships/hyperlink" Target="mailto:karen.arandia@nuvu.cc" TargetMode="External"/><Relationship Id="rId215" Type="http://schemas.openxmlformats.org/officeDocument/2006/relationships/hyperlink" Target="mailto:ciliana.capera@blend360.com" TargetMode="External"/><Relationship Id="rId257" Type="http://schemas.openxmlformats.org/officeDocument/2006/relationships/hyperlink" Target="mailto:karen.arandia@nuvu.cc" TargetMode="External"/><Relationship Id="rId422" Type="http://schemas.openxmlformats.org/officeDocument/2006/relationships/hyperlink" Target="../../NUVU-Proyectos/Shared%20Documents/Forms/AllItems.aspx?id=%2Fsites%2FNUVU%2DProyectos%2FShared%20Documents%2FU%2FUniversidad%20Nacional%2F1%2E%20%5BP0240%5D%20OMG%20Acuerdo%20Marco%2F1%2E%20Contrato%204%2F%5BP2059%5D%20Contrato%204%20de%202025%2F00%2E%20Administrativos&amp;viewid=1dd39751%2D8a05%2D4043%2D9a9c%2D470bed0d9f3c&amp;newTargetListUrl=%2Fsites%2FNUVU%2DProyectos%2FShared%20Documents&amp;viewpath=%2Fsites%2FNUVU%2DProyectos%2FShared%20Documents%2FForms%2FAllItems%2Easpx" TargetMode="External"/><Relationship Id="rId464" Type="http://schemas.openxmlformats.org/officeDocument/2006/relationships/hyperlink" Target="../../NUVU-Proyectos/Shared%20Documents/Forms/AllItems.aspx?id=%2Fsites%2FNUVU%2DProyectos%2FShared%20Documents%2FM%2FMetro%20de%20Medell%C3%ADn%2F%5BP0388%5D%20Servicio%20de%20Dise%C3%B1o%20e%20Implementaci%C3%B3n%20de%20Inteligencia%20de%20Negocios%20y%20Anal%C3%ADtica&amp;viewid=1dd39751%2D8a05%2D4043%2D9a9c%2D470bed0d9f3c" TargetMode="External"/><Relationship Id="rId299" Type="http://schemas.openxmlformats.org/officeDocument/2006/relationships/hyperlink" Target="mailto:ciliana.capera@blend360.com" TargetMode="External"/><Relationship Id="rId63" Type="http://schemas.openxmlformats.org/officeDocument/2006/relationships/hyperlink" Target="mailto:nicolas.revollo@blend360.com" TargetMode="External"/><Relationship Id="rId159" Type="http://schemas.openxmlformats.org/officeDocument/2006/relationships/hyperlink" Target="https://drive.google.com/drive/u/0/folders/1e3CUiy4QQJNkWOoWgZVjMDvkbWM6_9Do" TargetMode="External"/><Relationship Id="rId366" Type="http://schemas.openxmlformats.org/officeDocument/2006/relationships/hyperlink" Target="../../../:f:/s/NUVU-Proyectos/EkdbNixGBDtHtvqh1caU3VoB1bCkVnQr2AWWtKe3WST_gg?e=yGIcRa" TargetMode="External"/><Relationship Id="rId573" Type="http://schemas.openxmlformats.org/officeDocument/2006/relationships/hyperlink" Target="mailto:juan.bernal@blend360.com" TargetMode="External"/><Relationship Id="rId226" Type="http://schemas.openxmlformats.org/officeDocument/2006/relationships/hyperlink" Target="mailto:marcela.sanchez@blend360.com" TargetMode="External"/><Relationship Id="rId433" Type="http://schemas.openxmlformats.org/officeDocument/2006/relationships/hyperlink" Target="../../../:f:/s/NUVU-Proyectos/EtrXyr-pswRGkuo69OJZmrcBhlhRprp0kzeYaY7HTr3hxw?e=qiRUjY" TargetMode="External"/><Relationship Id="rId640" Type="http://schemas.openxmlformats.org/officeDocument/2006/relationships/hyperlink" Target="../../../:f:/s/NUVU-Proyectos/IgCkCKkp-vI2TItaB8IpnAz4AfFLFEa6blE-BUWk2Ozx2tU?e=DOhEb4" TargetMode="External"/><Relationship Id="rId74" Type="http://schemas.openxmlformats.org/officeDocument/2006/relationships/hyperlink" Target="mailto:nicolas.revollo@blend360.com" TargetMode="External"/><Relationship Id="rId377" Type="http://schemas.openxmlformats.org/officeDocument/2006/relationships/hyperlink" Target="../../../:f:/s/NUVU-Proyectos/EqWGrwdJfitKpRcrg5ic8J8BWNv4ip3WQ5y9SQ44bBLhkg?e=peeMJC" TargetMode="External"/><Relationship Id="rId500" Type="http://schemas.openxmlformats.org/officeDocument/2006/relationships/hyperlink" Target="mailto:juan.bernal@blend360.com" TargetMode="External"/><Relationship Id="rId584" Type="http://schemas.openxmlformats.org/officeDocument/2006/relationships/hyperlink" Target="https://wgcp.sharepoint.com/:b:/s/NUVU-Proyectos/IQC01iv30o1cQKNN4ZwjJ7n1AasLMGxE8NB64BWpHAPOi98?e=ILmCKf" TargetMode="External"/><Relationship Id="rId5" Type="http://schemas.openxmlformats.org/officeDocument/2006/relationships/hyperlink" Target="https://drive.google.com/drive/folders/1sdW0FYXEG8aHZz_NSGac206Hyyx6SshR" TargetMode="External"/><Relationship Id="rId237" Type="http://schemas.openxmlformats.org/officeDocument/2006/relationships/hyperlink" Target="mailto:marcela.sanchez@blend360.com" TargetMode="External"/><Relationship Id="rId444" Type="http://schemas.openxmlformats.org/officeDocument/2006/relationships/hyperlink" Target="mailto:nicolas.revollo@blend360.com" TargetMode="External"/><Relationship Id="rId651" Type="http://schemas.openxmlformats.org/officeDocument/2006/relationships/hyperlink" Target="https://wgcp.sharepoint.com/:x:/s/NUVU-Proyectos/IQC2FBOjehdDSJGNFnAA--XuASKcvG4z232Av5OSqQnCQeQ?e=7EdmvJ" TargetMode="External"/><Relationship Id="rId290" Type="http://schemas.openxmlformats.org/officeDocument/2006/relationships/hyperlink" Target="https://drive.google.com/drive/folders/1X4iELvATSIXxv9fAYa9XJVZ8gAnjLE8l" TargetMode="External"/><Relationship Id="rId304" Type="http://schemas.openxmlformats.org/officeDocument/2006/relationships/hyperlink" Target="mailto:juan.bernal@blend360.com" TargetMode="External"/><Relationship Id="rId388" Type="http://schemas.openxmlformats.org/officeDocument/2006/relationships/hyperlink" Target="../../../:f:/s/NUVU-Proyectos/EmcWFnNU1JpJjUwSBDvzPtcBP4WpVOVE4Ot6cfLRS7yUvQ?e=klBQBM" TargetMode="External"/><Relationship Id="rId511" Type="http://schemas.openxmlformats.org/officeDocument/2006/relationships/hyperlink" Target="mailto:carlos.sierra@blend360.com" TargetMode="External"/><Relationship Id="rId609" Type="http://schemas.openxmlformats.org/officeDocument/2006/relationships/hyperlink" Target="../../../:f:/s/NUVU-Proyectos/IgD6-umZ1j67QoGKTDKBFEqJAbnjSMtm3NUQRbsr8y5l4Ik?e=DC16YG" TargetMode="External"/><Relationship Id="rId85" Type="http://schemas.openxmlformats.org/officeDocument/2006/relationships/hyperlink" Target="mailto:alejandra.gomez@blend360.com" TargetMode="External"/><Relationship Id="rId150" Type="http://schemas.openxmlformats.org/officeDocument/2006/relationships/hyperlink" Target="mailto:alejandra.gomez@blend360.com" TargetMode="External"/><Relationship Id="rId595" Type="http://schemas.openxmlformats.org/officeDocument/2006/relationships/hyperlink" Target="https://wgcp.sharepoint.com/:x:/s/NUVU-Proyectos/IQDn7IlRVbplT7URh6HRz5WgAbLpz7B2NSK980oXUVUdj-Q?e=j9fTan" TargetMode="External"/><Relationship Id="rId248" Type="http://schemas.openxmlformats.org/officeDocument/2006/relationships/hyperlink" Target="https://drive.google.com/drive/folders/16SAZSrznaM2MTPbdi5HRcOIhH0scT5r8" TargetMode="External"/><Relationship Id="rId455" Type="http://schemas.openxmlformats.org/officeDocument/2006/relationships/hyperlink" Target="../../../:b:/s/NUVU-Proyectos/IQDQUZC4bNgIRLPtnejmJNZgAX-i8h2mxHlw90CXhz4Zkzo?e=Cx7AAB" TargetMode="External"/><Relationship Id="rId662" Type="http://schemas.openxmlformats.org/officeDocument/2006/relationships/hyperlink" Target="https://wgcp.sharepoint.com/:x:/s/NUVU-Proyectos/IQBJbdbTkCKUT6wNNtzwrvubAWjt-RJTSG69pJ6Lk8lMP7A?e=oG2Y92" TargetMode="External"/><Relationship Id="rId12" Type="http://schemas.openxmlformats.org/officeDocument/2006/relationships/hyperlink" Target="../../../:f:/s/NUVU-Proyectos/EoNI9P5DzfVHjFQpiIhzjE8BrhKFG52YGxRiq31uMPkinA?e=75Skm5" TargetMode="External"/><Relationship Id="rId108" Type="http://schemas.openxmlformats.org/officeDocument/2006/relationships/hyperlink" Target="../../../:b:/r/sites/NUVU-Legal/Shared%20Documents/Gesti%C3%B3n%20Contractual/Contratos%20Clientes%20y%20Proveedores/Contratos%20Clientes/F/Financiera%20de%20Desarrollo%20Nacional%20-%20FDN/Contratos/Orden%20de%20compra%204402476%20-%20Infraestructura%20Cloud/Pedido%204402476%20HIGH%20TECH%20SOFTWARE%20SAS.pdf?csf=1&amp;web=1&amp;e=8zEVdb" TargetMode="External"/><Relationship Id="rId315" Type="http://schemas.openxmlformats.org/officeDocument/2006/relationships/hyperlink" Target="mailto:nicolas.revollo@blend360.com" TargetMode="External"/><Relationship Id="rId522" Type="http://schemas.openxmlformats.org/officeDocument/2006/relationships/hyperlink" Target="mailto:carlos.sierra@blend360.com" TargetMode="External"/><Relationship Id="rId96" Type="http://schemas.openxmlformats.org/officeDocument/2006/relationships/hyperlink" Target="mailto:ciliana.capera@blend360.com" TargetMode="External"/><Relationship Id="rId161" Type="http://schemas.openxmlformats.org/officeDocument/2006/relationships/hyperlink" Target="mailto:alejandra.gomez@blend360.com" TargetMode="External"/><Relationship Id="rId399" Type="http://schemas.openxmlformats.org/officeDocument/2006/relationships/hyperlink" Target="../../NUVU-Proyectos/Shared%20Documents/Forms/AllItems.aspx?id=%2Fsites%2FNUVU%2DProyectos%2FShared%20Documents%2FA%2FADRES%2F%5BP2294%5D%20%2D%20ADR%20%2D%20MVP%20auditorias%2F00%20Administrativos%2FHabilitadores&amp;viewid=1dd39751%2D8a05%2D4043%2D9a9c%2D470bed0d9f3c" TargetMode="External"/><Relationship Id="rId259" Type="http://schemas.openxmlformats.org/officeDocument/2006/relationships/hyperlink" Target="mailto:karen.arandia@nuvu.cc" TargetMode="External"/><Relationship Id="rId466" Type="http://schemas.openxmlformats.org/officeDocument/2006/relationships/hyperlink" Target="../../NUVU-Comercial/Shared%20Documents/Forms/AllItems.aspx?id=%2Fsites%2FNUVU%2DComercial%2FShared%20Documents%2FU%2FUniversidad%20Nacional%20de%20Colombia%2F2025%2F01%2E%20Acuerdo%20Marco%2FAcuerdo%20y%20Adiciones%2FOSES%2FDivisi%C3%B3n%20Extensi%C3%B3n&amp;p=true&amp;CT=1745948383954&amp;OR=OWA%2DNT%2DMail&amp;CID=d414a553%2Dbfe1%2D99ba%2D35a5%2D68e74f7f74f3&amp;ga=1" TargetMode="External"/><Relationship Id="rId673" Type="http://schemas.openxmlformats.org/officeDocument/2006/relationships/hyperlink" Target="https://wgcp.sharepoint.com/:x:/s/NUVU-Proyectos/IQCa3NxZrsdAWl8de5aDPUrvAflLUMD5OApi0u5pEQ774DU?e=Csny0j" TargetMode="External"/><Relationship Id="rId23" Type="http://schemas.openxmlformats.org/officeDocument/2006/relationships/hyperlink" Target="https://drive.google.com/drive/folders/1KbVHP5h-x0K6AaajTwoXU0GLl8r1YQ95" TargetMode="External"/><Relationship Id="rId119" Type="http://schemas.openxmlformats.org/officeDocument/2006/relationships/hyperlink" Target="mailto:moises.rojas@blend360.com" TargetMode="External"/><Relationship Id="rId326" Type="http://schemas.openxmlformats.org/officeDocument/2006/relationships/hyperlink" Target="mailto:ciliana.capera@blend360.com" TargetMode="External"/><Relationship Id="rId533" Type="http://schemas.openxmlformats.org/officeDocument/2006/relationships/hyperlink" Target="mailto:carlos.sierra@blend360.com" TargetMode="External"/><Relationship Id="rId172" Type="http://schemas.openxmlformats.org/officeDocument/2006/relationships/hyperlink" Target="https://drive.google.com/drive/u/0/folders/1MGBfD6Vh5uYbROYUHEcdv1tOwFqXfkxx" TargetMode="External"/><Relationship Id="rId477" Type="http://schemas.openxmlformats.org/officeDocument/2006/relationships/hyperlink" Target="../../../:f:/s/NUVU-Proyectos/IgBOWFrTqLDARrme81PpHSdVAXDmWoeZHaZ8NMomRp30VBc?e=JaYCEO" TargetMode="External"/><Relationship Id="rId600" Type="http://schemas.openxmlformats.org/officeDocument/2006/relationships/hyperlink" Target="https://wgcp.sharepoint.com/:b:/s/NUVU-Proyectos/IQA3JVLMDMI8QqWre8V17GfNAaQBjuSBpiL0u7cVuHWuOTU?e=6Dgbjf" TargetMode="External"/><Relationship Id="rId684" Type="http://schemas.openxmlformats.org/officeDocument/2006/relationships/hyperlink" Target="https://wgcp.sharepoint.com/:b:/r/sites/NUVU-Proyectos/Shared%20Documents/J/JPMP%20-%20Justicia%20Penal%20Militar%20y%20Policial/%5BP1947%5D%20-%20JPMP%20Cloud%20Managed%20Services/1.%20Documentos%20del%20Proyecto/Acta%20de%20Inicio/Kickoff%20JPMP%20OC%20119973.pdf?csf=1&amp;web=1&amp;e=sZl5Zp" TargetMode="External"/><Relationship Id="rId337" Type="http://schemas.openxmlformats.org/officeDocument/2006/relationships/hyperlink" Target="mailto:carolina.aleman@blend360.com" TargetMode="External"/><Relationship Id="rId34" Type="http://schemas.openxmlformats.org/officeDocument/2006/relationships/hyperlink" Target="https://drive.google.com/drive/u/0/folders/113jIx4Sscgye7QpsmyJJ_tjK1rALFHfT" TargetMode="External"/><Relationship Id="rId544" Type="http://schemas.openxmlformats.org/officeDocument/2006/relationships/hyperlink" Target="mailto:alejandra.gomez@blend360.com" TargetMode="External"/><Relationship Id="rId183" Type="http://schemas.openxmlformats.org/officeDocument/2006/relationships/hyperlink" Target="mailto:alejandra.gomez@blend360.com" TargetMode="External"/><Relationship Id="rId390" Type="http://schemas.openxmlformats.org/officeDocument/2006/relationships/hyperlink" Target="../../../:f:/s/NUVU-Proyectos/Ej--cVMKMsFDgfNmUgDGOkkBEC6Ztt7Z_R5FkPp4LTA0kw?e=y858hW" TargetMode="External"/><Relationship Id="rId404" Type="http://schemas.openxmlformats.org/officeDocument/2006/relationships/hyperlink" Target="../../NUVU-Proyectos/Shared%20Documents/Forms/AllItems.aspx?id=%2Fsites%2FNUVU%2DProyectos%2FShared%20Documents%2FU%2FUniversidad%20Nacional%2FOSES%202025%2F%5BP0298%5D%20Fortinet%2F00%2E%20Administrativos&amp;viewid=1dd39751%2D8a05%2D4043%2D9a9c%2D470bed0d9f3c" TargetMode="External"/><Relationship Id="rId611" Type="http://schemas.openxmlformats.org/officeDocument/2006/relationships/hyperlink" Target="../../../:f:/s/NUVU-Proyectos/IgD6-umZ1j67QoGKTDKBFEqJAbnjSMtm3NUQRbsr8y5l4Ik?e=DC16YG" TargetMode="External"/><Relationship Id="rId250" Type="http://schemas.openxmlformats.org/officeDocument/2006/relationships/hyperlink" Target="mailto:karen.arandia@nuvu.cc" TargetMode="External"/><Relationship Id="rId488" Type="http://schemas.openxmlformats.org/officeDocument/2006/relationships/hyperlink" Target="../../NUVU-Proyectos/Shared%20Documents/Forms/AllItems.aspx?viewid=1dd39751%2D8a05%2D4043%2D9a9c%2D470bed0d9f3c&amp;ga=1&amp;id=%2Fsites%2FNUVU%2DProyectos%2FShared%20Documents%2FF%2FFiduagraria%2FQuicksight%2F%5BP2639%5D%20%2D%20Quicksight%20Operacion%202026%2F01%2E%20Documentaci%C3%B3n%20Esencial%2F01%2E%20Contrato%2FOTRO%20SI%204%20HIGH%20TECH%20%281%29%2Epdf&amp;parent=%2Fsites%2FNUVU%2DProyectos%2FShared%20Documents%2FF%2FFiduagraria%2FQuicksight%2F%5BP2639%5D%20%2D%20Quicksight%20Operacion%202026%2F01%2E%20Documentaci%C3%B3n%20Esencial%2F01%2E%20Contrato" TargetMode="External"/><Relationship Id="rId45" Type="http://schemas.openxmlformats.org/officeDocument/2006/relationships/hyperlink" Target="mailto:alejandra.gomez@blend360.com" TargetMode="External"/><Relationship Id="rId110" Type="http://schemas.openxmlformats.org/officeDocument/2006/relationships/hyperlink" Target="mailto:moises.rojas@blend360.com" TargetMode="External"/><Relationship Id="rId348" Type="http://schemas.openxmlformats.org/officeDocument/2006/relationships/hyperlink" Target="../../../:f:/s/NUVU-Proyectos/EqBuSQ7YCJxGmO8MUC_HyUkBFU8LQa4vio2ub9bKkqAtxQ?e=9Dht22" TargetMode="External"/><Relationship Id="rId555" Type="http://schemas.openxmlformats.org/officeDocument/2006/relationships/hyperlink" Target="../../../:f:/s/NUVU-Proyectos/EoCgS_u3-85FjOn2YqyVS0cB8sopM0KfNugvwFhaYz1e8g?e=IK06Yf" TargetMode="External"/><Relationship Id="rId194" Type="http://schemas.openxmlformats.org/officeDocument/2006/relationships/hyperlink" Target="mailto:karen.arandia@nuvu.cc" TargetMode="External"/><Relationship Id="rId208" Type="http://schemas.openxmlformats.org/officeDocument/2006/relationships/hyperlink" Target="https://drive.google.com/drive/u/0/folders/113jIx4Sscgye7QpsmyJJ_tjK1rALFHfT" TargetMode="External"/><Relationship Id="rId415" Type="http://schemas.openxmlformats.org/officeDocument/2006/relationships/hyperlink" Target="../../NUVU-Proyectos/Shared%20Documents/Forms/AllItems.aspx?id=%2Fsites%2FNUVU%2DProyectos%2FShared%20Documents%2FU%2FUniversidad%20Nacional%2F1%2E%20%5BP0240%5D%20OMG%20Acuerdo%20Marco%2F1%2E%20Contrato%204%2F%5BP2059%5D%20Contrato%204%20de%202025%2F00%2E%20Administrativos&amp;viewid=1dd39751%2D8a05%2D4043%2D9a9c%2D470bed0d9f3c&amp;newTargetListUrl=%2Fsites%2FNUVU%2DProyectos%2FShared%20Documents&amp;viewpath=%2Fsites%2FNUVU%2DProyectos%2FShared%20Documents%2FForms%2FAllItems%2Easpx" TargetMode="External"/><Relationship Id="rId622" Type="http://schemas.openxmlformats.org/officeDocument/2006/relationships/hyperlink" Target="https://wgcp.sharepoint.com/:b:/s/NUVU-Proyectos/IQCOjR1TlxgXRIKacgMieZNLAbFK799LmSHxwzdhvXRRlOs?e=ocf5tn" TargetMode="External"/><Relationship Id="rId261" Type="http://schemas.openxmlformats.org/officeDocument/2006/relationships/hyperlink" Target="mailto:karen.arandia@nuvu.cc" TargetMode="External"/><Relationship Id="rId499" Type="http://schemas.openxmlformats.org/officeDocument/2006/relationships/hyperlink" Target="https://blend360-llc.app.netsuitesuiteprojectspro.com/project.pl?uid=QEQ9FmkS8RGEmHpMpzwcVA;app=pm;layout=3;page=1;save_action=edit;r=XydfAuF8702;project_id=2729;action=outline" TargetMode="External"/><Relationship Id="rId56" Type="http://schemas.openxmlformats.org/officeDocument/2006/relationships/hyperlink" Target="mailto:ciliana.capera@blend360.com" TargetMode="External"/><Relationship Id="rId359" Type="http://schemas.openxmlformats.org/officeDocument/2006/relationships/hyperlink" Target="../../../:f:/s/NUVU-Proyectos/EiJdzSA4HltFqJ8p9tP-M5EB3RGFsxF59076xJ188xTIGQ?e=fvfpam" TargetMode="External"/><Relationship Id="rId566" Type="http://schemas.openxmlformats.org/officeDocument/2006/relationships/hyperlink" Target="mailto:juan.bernal@blend360.com" TargetMode="External"/><Relationship Id="rId121" Type="http://schemas.openxmlformats.org/officeDocument/2006/relationships/hyperlink" Target="../../../:p:/r/sites/NUVU-Proyectos/_layouts/15/Doc.aspx?sourcedoc=%7B53A53B99-3747-48B5-A8BC-8DEF2426CC41%7D&amp;file=Kickoff%20CSJ%20-%20MVP%20Digitalizaci%C3%B3n%20archivo%20fisico%20Bogot%C3%A1%20-%20Copia.pptx&amp;action=edit&amp;mobileredirect=true" TargetMode="External"/><Relationship Id="rId219" Type="http://schemas.openxmlformats.org/officeDocument/2006/relationships/hyperlink" Target="mailto:nicolas.revollo@blend360.com" TargetMode="External"/><Relationship Id="rId426" Type="http://schemas.openxmlformats.org/officeDocument/2006/relationships/hyperlink" Target="../../NUVU-Proyectos/Shared%20Documents/Forms/AllItems.aspx?id=%2Fsites%2FNUVU%2DProyectos%2FShared%20Documents%2FU%2FUniversidad%20Nacional%2FOSES%202025%2F%5BP0353%5D%20Moodle%20Extension%20Cloud%2F00%2E%20Administrativos&amp;viewid=1dd39751%2D8a05%2D4043%2D9a9c%2D470bed0d9f3c&amp;newTargetListUrl=%2Fsites%2FNUVU%2DProyectos%2FShared%20Documents&amp;viewpath=%2Fsites%2FNUVU%2DProyectos%2FShared%20Documents%2FForms%2FAllItems%2Easpx" TargetMode="External"/><Relationship Id="rId633" Type="http://schemas.openxmlformats.org/officeDocument/2006/relationships/hyperlink" Target="../../../:f:/s/NUVU-Proyectos/IgBHWzYsRgQ7R7b6odXGlN1aAbjBBSPtzlSMh-CIlqGyC7g?e=oR73LN" TargetMode="External"/><Relationship Id="rId67" Type="http://schemas.openxmlformats.org/officeDocument/2006/relationships/hyperlink" Target="mailto:nicolas.revollo@blend360.com" TargetMode="External"/><Relationship Id="rId272" Type="http://schemas.openxmlformats.org/officeDocument/2006/relationships/hyperlink" Target="https://drive.google.com/drive/u/0/folders/1MGBfD6Vh5uYbROYUHEcdv1tOwFqXfkxx" TargetMode="External"/><Relationship Id="rId577" Type="http://schemas.openxmlformats.org/officeDocument/2006/relationships/hyperlink" Target="mailto:juan.bernal@blend360.com" TargetMode="External"/><Relationship Id="rId132" Type="http://schemas.openxmlformats.org/officeDocument/2006/relationships/hyperlink" Target="mailto:nicolas.revollo@blend360.com" TargetMode="External"/><Relationship Id="rId437" Type="http://schemas.openxmlformats.org/officeDocument/2006/relationships/hyperlink" Target="../../NUVU-Proyectos/Shared%20Documents/Forms/AllItems.aspx?id=%2Fsites%2FNUVU%2DProyectos%2FShared%20Documents%2FA%2FAlcaldia%20de%20Cali%2F%5BP2604%5D%20ACA%20%2D%20Hacienda%20a%20un%20Click&amp;viewid=1dd39751%2D8a05%2D4043%2D9a9c%2D470bed0d9f3c" TargetMode="External"/><Relationship Id="rId644" Type="http://schemas.openxmlformats.org/officeDocument/2006/relationships/hyperlink" Target="../../../:f:/s/NUVU-Proyectos/IgA1JO-uljJfTowojy8qS9pBAfMOH7YUW-FKl6NSdQMG9dU?e=bEOIj8" TargetMode="External"/><Relationship Id="rId283" Type="http://schemas.openxmlformats.org/officeDocument/2006/relationships/hyperlink" Target="mailto:alejandra.gomez@blend360.com" TargetMode="External"/><Relationship Id="rId490" Type="http://schemas.openxmlformats.org/officeDocument/2006/relationships/hyperlink" Target="../../../:f:/s/NUVU-Proyectos/En6SRDZPljZMm6Bf8FjWEYsBHMnGmGQW9m51yCMebHJKaw?e=BnddNS" TargetMode="External"/><Relationship Id="rId504" Type="http://schemas.openxmlformats.org/officeDocument/2006/relationships/hyperlink" Target="mailto:carlos.sierra@blend360.com" TargetMode="External"/><Relationship Id="rId78" Type="http://schemas.openxmlformats.org/officeDocument/2006/relationships/hyperlink" Target="mailto:daniela.munoz@blend360.com" TargetMode="External"/><Relationship Id="rId143" Type="http://schemas.openxmlformats.org/officeDocument/2006/relationships/hyperlink" Target="mailto:karen.arandia@nuvu.cc" TargetMode="External"/><Relationship Id="rId350" Type="http://schemas.openxmlformats.org/officeDocument/2006/relationships/hyperlink" Target="../../../:f:/s/NUVU-Proyectos/EvC-Quqi7xpNrpd2JphNWOkBTyTDM96P_ouQ27_Nhq3VHA?e=ktATn5" TargetMode="External"/><Relationship Id="rId588" Type="http://schemas.openxmlformats.org/officeDocument/2006/relationships/hyperlink" Target="https://wgcp.sharepoint.com/:b:/s/NUVU-Proyectos/IQC01iv30o1cQKNN4ZwjJ7n1AasLMGxE8NB64BWpHAPOi98?e=ILmCKf" TargetMode="External"/><Relationship Id="rId9" Type="http://schemas.openxmlformats.org/officeDocument/2006/relationships/hyperlink" Target="https://drive.google.com/drive/u/0/folders/1nzstt31VgD7ZrV6gn-TihgI4KOzpj6sP" TargetMode="External"/><Relationship Id="rId210" Type="http://schemas.openxmlformats.org/officeDocument/2006/relationships/hyperlink" Target="mailto:daniela.munoz@blend360.com" TargetMode="External"/><Relationship Id="rId448" Type="http://schemas.openxmlformats.org/officeDocument/2006/relationships/hyperlink" Target="../../NUVU-Comercial/Shared%20Documents/Forms/AllItems.aspx?id=%2Fsites%2FNUVU%2DComercial%2FShared%20Documents%2FI%2FICFES%20%2D%20Instituto%20Colombiano%20para%20la%20Evaluaci%C3%B3n%20de%20la%20Educaci%C3%B3n%2F2025%2FMigracion%20Infraestructura%2FOperac%C3%B3n%20en%20AWS%20a%20partir%20de%20oct%202025&amp;viewid=1dd39751%2D8a05%2D4043%2D9a9c%2D470bed0d9f3c&amp;newTargetListUrl=%2Fsites%2FNUVU%2DComercial%2FShared%20Documents&amp;viewpath=%2Fsites%2FNUVU%2DComercial%2FShared%20Documents%2FForms%2FAllItems%2Easpx" TargetMode="External"/><Relationship Id="rId655" Type="http://schemas.openxmlformats.org/officeDocument/2006/relationships/hyperlink" Target="../../../:f:/s/NUVU-Proyectos/IgBrhPyX3-cbRI2_Ie_LQpfpARfry4MBgIsdqFO8_PEBUsY?e=FgJDl9" TargetMode="External"/><Relationship Id="rId294" Type="http://schemas.openxmlformats.org/officeDocument/2006/relationships/hyperlink" Target="https://drive.google.com/drive/folders/1X4iELvATSIXxv9fAYa9XJVZ8gAnjLE8l" TargetMode="External"/><Relationship Id="rId308" Type="http://schemas.openxmlformats.org/officeDocument/2006/relationships/hyperlink" Target="mailto:ciliana.capera@blend360.com" TargetMode="External"/><Relationship Id="rId515" Type="http://schemas.openxmlformats.org/officeDocument/2006/relationships/hyperlink" Target="mailto:carlos.sierra@blend360.com" TargetMode="External"/><Relationship Id="rId89" Type="http://schemas.openxmlformats.org/officeDocument/2006/relationships/hyperlink" Target="mailto:alejandra.gomez@blend360.com" TargetMode="External"/><Relationship Id="rId154" Type="http://schemas.openxmlformats.org/officeDocument/2006/relationships/hyperlink" Target="https://drive.google.com/drive/u/0/folders/1MGBfD6Vh5uYbROYUHEcdv1tOwFqXfkxx" TargetMode="External"/><Relationship Id="rId361" Type="http://schemas.openxmlformats.org/officeDocument/2006/relationships/hyperlink" Target="../../../:f:/s/NUVU-Proyectos/EoCgS_u3-85FjOn2YqyVS0cB8sopM0KfNugvwFhaYz1e8g?e=IK06Yf" TargetMode="External"/><Relationship Id="rId599" Type="http://schemas.openxmlformats.org/officeDocument/2006/relationships/hyperlink" Target="../../../:f:/s/NUVU-Proyectos/IgDU8khD8Lz9SLZapm9MGjV1AWd1s0_r4Q-gMQ4vE0YK8TE?e=lGVD5j" TargetMode="External"/><Relationship Id="rId459" Type="http://schemas.openxmlformats.org/officeDocument/2006/relationships/hyperlink" Target="../../NUVU-Comercial/Shared%20Documents/Forms/AllItems.aspx?id=%2Fsites%2FNUVU%2DComercial%2FShared%20Documents%2FU%2FUniversidad%20Nacional%20de%20Colombia%2F2025%2F01%2E%20Acuerdo%20Marco%2FAcuerdo%20y%20Adiciones%2FOSES%2FDivisi%C3%B3n%20Extensi%C3%B3n&amp;p=true&amp;CT=1745948383954&amp;OR=OWA%2DNT%2DMail&amp;CID=d414a553%2Dbfe1%2D99ba%2D35a5%2D68e74f7f74f3&amp;ga=1" TargetMode="External"/><Relationship Id="rId666" Type="http://schemas.openxmlformats.org/officeDocument/2006/relationships/hyperlink" Target="../../../:f:/s/NUVU-Proyectos/IgBXmGT0h5ZhRbIntlv-9e9eAXUe7wul4xM5eoPsl85gWLo?e=aaQum0" TargetMode="External"/><Relationship Id="rId16" Type="http://schemas.openxmlformats.org/officeDocument/2006/relationships/hyperlink" Target="https://drive.google.com/drive/folders/1zZw5xbWNyOcUCUDlhfco4xaz6OZ7XdXe" TargetMode="External"/><Relationship Id="rId221" Type="http://schemas.openxmlformats.org/officeDocument/2006/relationships/hyperlink" Target="mailto:nicolas.revollo@blend360.com" TargetMode="External"/><Relationship Id="rId319" Type="http://schemas.openxmlformats.org/officeDocument/2006/relationships/hyperlink" Target="mailto:karen.arandia@nuvu.cc" TargetMode="External"/><Relationship Id="rId526" Type="http://schemas.openxmlformats.org/officeDocument/2006/relationships/hyperlink" Target="mailto:carlos.sierra@blend360.com" TargetMode="External"/><Relationship Id="rId165" Type="http://schemas.openxmlformats.org/officeDocument/2006/relationships/hyperlink" Target="https://drive.google.com/file/d/1WwhsK86PyM0sKPlvQ7Bc7xzU6D_JqaMx/view?usp=drive_link" TargetMode="External"/><Relationship Id="rId372" Type="http://schemas.openxmlformats.org/officeDocument/2006/relationships/hyperlink" Target="../../../:f:/s/NUVU-Proyectos/EowfoHQKTrhJixTT_ESWEO8B5eNpVzKCENHdN5lpb3nNbg?e=enmDlb" TargetMode="External"/><Relationship Id="rId677" Type="http://schemas.openxmlformats.org/officeDocument/2006/relationships/hyperlink" Target="https://wgcp.sharepoint.com/:b:/s/NUVU-Proyectos/IQC7Roa2N0jGRbglGYzGq2lFAWOaP_3RXa0JngFfQJ8htYk?e=Ep0lSA" TargetMode="External"/><Relationship Id="rId232" Type="http://schemas.openxmlformats.org/officeDocument/2006/relationships/hyperlink" Target="mailto:ciliana.capera@blend360.com" TargetMode="External"/><Relationship Id="rId27" Type="http://schemas.openxmlformats.org/officeDocument/2006/relationships/hyperlink" Target="https://drive.google.com/drive/folders/16SAZSrznaM2MTPbdi5HRcOIhH0scT5r8" TargetMode="External"/><Relationship Id="rId537" Type="http://schemas.openxmlformats.org/officeDocument/2006/relationships/hyperlink" Target="mailto:carlos.sierra@blend360.com" TargetMode="External"/><Relationship Id="rId80" Type="http://schemas.openxmlformats.org/officeDocument/2006/relationships/hyperlink" Target="mailto:juan.bernal@blend360.com" TargetMode="External"/><Relationship Id="rId176" Type="http://schemas.openxmlformats.org/officeDocument/2006/relationships/hyperlink" Target="mailto:juan.bernal@blend360.com" TargetMode="External"/><Relationship Id="rId383" Type="http://schemas.openxmlformats.org/officeDocument/2006/relationships/hyperlink" Target="../../../:f:/s/NUVU-Proyectos/Eld_-ym1ADVBmjaU9T-74OcBKJvKGzGbqoWZx7agDo61qQ?e=fBCVM1" TargetMode="External"/><Relationship Id="rId590" Type="http://schemas.openxmlformats.org/officeDocument/2006/relationships/hyperlink" Target="https://wgcp.sharepoint.com/:x:/s/NUVU-Proyectos/IQDYXehpcE2pTZm1uzYybKHIAWnVQHAR2DfxBQR_M3SNf_M?e=Seo4SB" TargetMode="External"/><Relationship Id="rId604" Type="http://schemas.openxmlformats.org/officeDocument/2006/relationships/hyperlink" Target="https://wgcp.sharepoint.com/:w:/s/NUVU-Proyectos/IQCLKapOrdZQQZpRb7pSyHE3AfpKLqr_mH0YKGtSaoVx7B8?e=TBiUrS" TargetMode="External"/><Relationship Id="rId243" Type="http://schemas.openxmlformats.org/officeDocument/2006/relationships/hyperlink" Target="mailto:ciliana.capera@blend360.com" TargetMode="External"/><Relationship Id="rId450" Type="http://schemas.openxmlformats.org/officeDocument/2006/relationships/hyperlink" Target="../../NUVU-Comercial/Shared%20Documents/Forms/AllItems.aspx?id=%2Fsites%2FNUVU%2DComercial%2FShared%20Documents%2FI%2FICFES%20%2D%20Instituto%20Colombiano%20para%20la%20Evaluaci%C3%B3n%20de%20la%20Educaci%C3%B3n%2F2025%2FRenovaci%C3%B3n%20Datalake%202025%20Fase%202%2FArtefactos%20finales%20icfes%20Datalake%20Nov%202025%20%2D%20Ene%202026&amp;viewid=1dd39751%2D8a05%2D4043%2D9a9c%2D470bed0d9f3c&amp;newTargetListUrl=%2Fsites%2FNUVU%2DComercial%2FShared%20Documents&amp;viewpath=%2Fsites%2FNUVU%2DComercial%2FShared%20Documents%2FForms%2FAllItems%2Easpx" TargetMode="External"/><Relationship Id="rId688" Type="http://schemas.openxmlformats.org/officeDocument/2006/relationships/comments" Target="../comments1.xml"/><Relationship Id="rId38" Type="http://schemas.openxmlformats.org/officeDocument/2006/relationships/hyperlink" Target="mailto:juan.bernal@blend360.com" TargetMode="External"/><Relationship Id="rId103" Type="http://schemas.openxmlformats.org/officeDocument/2006/relationships/hyperlink" Target="mailto:moises.rojas@blend360.com" TargetMode="External"/><Relationship Id="rId310" Type="http://schemas.openxmlformats.org/officeDocument/2006/relationships/hyperlink" Target="mailto:juan.bernal@blend360.com" TargetMode="External"/><Relationship Id="rId548" Type="http://schemas.openxmlformats.org/officeDocument/2006/relationships/hyperlink" Target="../../../:f:/s/NUVU-Proyectos/EtZkwtbPNh5Cj3NjXmYKJP8B2M_5ZjmaYI6FcWEcHUAu4w?e=ijrHfp" TargetMode="External"/><Relationship Id="rId91" Type="http://schemas.openxmlformats.org/officeDocument/2006/relationships/hyperlink" Target="mailto:karen.arandia@nuvu.cc" TargetMode="External"/><Relationship Id="rId187" Type="http://schemas.openxmlformats.org/officeDocument/2006/relationships/hyperlink" Target="mailto:moises.rojas@blend360.com" TargetMode="External"/><Relationship Id="rId394" Type="http://schemas.openxmlformats.org/officeDocument/2006/relationships/hyperlink" Target="../../NUVU-Proyectos/Shared%20Documents/Forms/AllItems.aspx?id=%2Fsites%2FNUVU%2DProyectos%2FShared%20Documents%2FM%2FMintic%2F%5BP0309%5D%20MTI%20%2D%20Microcentros%20AI%2F01%2E%20Documentaci%C3%B3n%20Esencial&amp;viewid=1dd39751%2D8a05%2D4043%2D9a9c%2D470bed0d9f3c" TargetMode="External"/><Relationship Id="rId408" Type="http://schemas.openxmlformats.org/officeDocument/2006/relationships/hyperlink" Target="../../NUVU-Proyectos/Shared%20Documents/Forms/AllItems.aspx?id=%2Fsites%2FNUVU%2DProyectos%2FShared%20Documents%2FU%2FUniversidad%20Nacional%2FOSES%202025%2F%5BP0306%5D%20HPC%20Registro%20y%20Matr%C3%ADcula%2F00%2E%20Administrativo&amp;newTargetListUrl=%2Fsites%2FNUVU%2DProyectos%2FShared%20Documents&amp;viewpath=%2Fsites%2FNUVU%2DProyectos%2FShared%20Documents%2FForms%2FAllItems%2Easpx" TargetMode="External"/><Relationship Id="rId615" Type="http://schemas.openxmlformats.org/officeDocument/2006/relationships/hyperlink" Target="mailto:karen.arandia@nuvu.cc" TargetMode="External"/><Relationship Id="rId254" Type="http://schemas.openxmlformats.org/officeDocument/2006/relationships/hyperlink" Target="mailto:ciliana.capera@blend360.co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miguel.carrillo@blend360.com" TargetMode="External"/><Relationship Id="rId3" Type="http://schemas.openxmlformats.org/officeDocument/2006/relationships/hyperlink" Target="mailto:carlos.aroca@blend360.com" TargetMode="External"/><Relationship Id="rId7" Type="http://schemas.openxmlformats.org/officeDocument/2006/relationships/hyperlink" Target="mailto:victor.castellanos@blend360.com" TargetMode="External"/><Relationship Id="rId2" Type="http://schemas.openxmlformats.org/officeDocument/2006/relationships/hyperlink" Target="mailto:cristian.angel@blend360.com" TargetMode="External"/><Relationship Id="rId1" Type="http://schemas.openxmlformats.org/officeDocument/2006/relationships/hyperlink" Target="mailto:ronald.porras@blend360.com" TargetMode="External"/><Relationship Id="rId6" Type="http://schemas.openxmlformats.org/officeDocument/2006/relationships/hyperlink" Target="mailto:valentina.salazar@blend360.com" TargetMode="External"/><Relationship Id="rId5" Type="http://schemas.openxmlformats.org/officeDocument/2006/relationships/hyperlink" Target="mailto:fernando.garcia@blend360.com" TargetMode="External"/><Relationship Id="rId4" Type="http://schemas.openxmlformats.org/officeDocument/2006/relationships/hyperlink" Target="mailto:david.gomez@blend360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mailto:juan.tinjaca@blend360.com" TargetMode="External"/><Relationship Id="rId21" Type="http://schemas.openxmlformats.org/officeDocument/2006/relationships/hyperlink" Target="https://drive.google.com/file/d/16eArFD4NeqV0sWlacWFskdCqM5_jPXKC/view?usp=drive_link" TargetMode="External"/><Relationship Id="rId324" Type="http://schemas.openxmlformats.org/officeDocument/2006/relationships/hyperlink" Target="mailto:moises.rojas@blend360.com" TargetMode="External"/><Relationship Id="rId531" Type="http://schemas.openxmlformats.org/officeDocument/2006/relationships/hyperlink" Target="mailto:carlos.sierra@blend360.com" TargetMode="External"/><Relationship Id="rId629" Type="http://schemas.openxmlformats.org/officeDocument/2006/relationships/hyperlink" Target="https://wgcp.sharepoint.com0/" TargetMode="External"/><Relationship Id="rId170" Type="http://schemas.openxmlformats.org/officeDocument/2006/relationships/hyperlink" Target="mailto:alejandra.gomez@blend360.com" TargetMode="External"/><Relationship Id="rId268" Type="http://schemas.openxmlformats.org/officeDocument/2006/relationships/hyperlink" Target="mailto:karen.arandia@nuvu.cc" TargetMode="External"/><Relationship Id="rId475" Type="http://schemas.openxmlformats.org/officeDocument/2006/relationships/hyperlink" Target="../../NUVU-Comercial/Shared%20Documents/Forms/AllItems.aspx?id=%2Fsites%2FNUVU%2DComercial%2FShared%20Documents%2FI%2FICFES%20%2D%20Instituto%20Colombiano%20para%20la%20Evaluaci%C3%B3n%20de%20la%20Educaci%C3%B3n%2F2025%2FRenovaci%C3%B3n%20Datalake%202025%20Fase%202%2FArtefactos%20finales%20icfes%20Datalake%20Nov%202025%20%2D%20Ene%202026&amp;viewid=1dd39751%2D8a05%2D4043%2D9a9c%2D470bed0d9f3c&amp;newTargetListUrl=%2Fsites%2FNUVU%2DComercial%2FShared%20Documents&amp;viewpath=%2Fsites%2FNUVU%2DComercial%2FShared%20Documents%2FForms%2FAllItems%2Easpx" TargetMode="External"/><Relationship Id="rId32" Type="http://schemas.openxmlformats.org/officeDocument/2006/relationships/hyperlink" Target="https://drive.google.com/drive/u/0/folders/1YzbrEvndEMrjKCjzwbzOxFfgee0BpVw2" TargetMode="External"/><Relationship Id="rId128" Type="http://schemas.openxmlformats.org/officeDocument/2006/relationships/hyperlink" Target="mailto:karen.arandia@nuvu.cc" TargetMode="External"/><Relationship Id="rId335" Type="http://schemas.openxmlformats.org/officeDocument/2006/relationships/hyperlink" Target="mailto:nicolas.revollo@blend360.com" TargetMode="External"/><Relationship Id="rId542" Type="http://schemas.openxmlformats.org/officeDocument/2006/relationships/hyperlink" Target="mailto:carlos.sierra@blend360.com" TargetMode="External"/><Relationship Id="rId181" Type="http://schemas.openxmlformats.org/officeDocument/2006/relationships/hyperlink" Target="mailto:andres.barrantes@nuvu.cc" TargetMode="External"/><Relationship Id="rId402" Type="http://schemas.openxmlformats.org/officeDocument/2006/relationships/hyperlink" Target="../../../:f:/s/NUVU-Proyectos/Eld_-ym1ADVBmjaU9T-74OcBKJvKGzGbqoWZx7agDo61qQ?e=fBCVM1" TargetMode="External"/><Relationship Id="rId279" Type="http://schemas.openxmlformats.org/officeDocument/2006/relationships/hyperlink" Target="../../NUVU-Proyectos/Shared%20Documents/Forms/AllItems.aspx?id=%2Fsites%2FNUVU%2DProyectos%2FShared%20Documents%2FU%2FUniversidad%20Nacional&amp;sortField=LinkFilename&amp;isAscending=true&amp;viewid=1dd39751%2D8a05%2D4043%2D9a9c%2D470bed0d9f3c&amp;CT=1747430562325&amp;OR=OWA%2DNT%2DMail&amp;CID=e9f8afa4%2Ddaa0%2Daa3d%2D3c26%2Daceec7c7ca03" TargetMode="External"/><Relationship Id="rId486" Type="http://schemas.openxmlformats.org/officeDocument/2006/relationships/hyperlink" Target="../../NUVU-Proyectos/Shared%20Documents/Forms/AllItems.aspx?id=%2Fsites%2FNUVU%2DProyectos%2FShared%20Documents%2FM%2FMetro%20de%20Medell%C3%ADn%2F%5BP0388%5D%20Servicio%20de%20Dise%C3%B1o%20e%20Implementaci%C3%B3n%20de%20Inteligencia%20de%20Negocios%20y%20Anal%C3%ADtica%2F01%2E%20Documentaci%C3%B3n%20Esencial&amp;viewid=1dd39751%2D8a05%2D4043%2D9a9c%2D470bed0d9f3c" TargetMode="External"/><Relationship Id="rId43" Type="http://schemas.openxmlformats.org/officeDocument/2006/relationships/hyperlink" Target="mailto:alejandra.gomez@blend360.com" TargetMode="External"/><Relationship Id="rId139" Type="http://schemas.openxmlformats.org/officeDocument/2006/relationships/hyperlink" Target="mailto:nicolas.revollo@blend360.com" TargetMode="External"/><Relationship Id="rId346" Type="http://schemas.openxmlformats.org/officeDocument/2006/relationships/hyperlink" Target="mailto:carolina.aleman@blend360.com" TargetMode="External"/><Relationship Id="rId553" Type="http://schemas.openxmlformats.org/officeDocument/2006/relationships/hyperlink" Target="mailto:carlos.sierra@blend360.com" TargetMode="External"/><Relationship Id="rId192" Type="http://schemas.openxmlformats.org/officeDocument/2006/relationships/hyperlink" Target="https://drive.google.com/drive/folders/1S6F4S4Z3RYSYXE5GL-pnR23zYwHbeLJJ" TargetMode="External"/><Relationship Id="rId206" Type="http://schemas.openxmlformats.org/officeDocument/2006/relationships/hyperlink" Target="mailto:nicolas.revollo@blend360.com" TargetMode="External"/><Relationship Id="rId413" Type="http://schemas.openxmlformats.org/officeDocument/2006/relationships/hyperlink" Target="../../NUVU-Proyectos/Shared%20Documents/Forms/AllItems.aspx?id=%2Fsites%2FNUVU%2DProyectos%2FShared%20Documents%2FM%2FMintic%2F%5BP0309%5D%20MTI%20%2D%20Microcentros%20AI%2F01%2E%20Documentaci%C3%B3n%20Esencial&amp;viewid=1dd39751%2D8a05%2D4043%2D9a9c%2D470bed0d9f3c" TargetMode="External"/><Relationship Id="rId497" Type="http://schemas.openxmlformats.org/officeDocument/2006/relationships/hyperlink" Target="../../../:f:/s/NUVU-Comercial/IgBzrlFZBtk_R715Vsc9VWqhARFhnggBfmCZXynw-G923UU?e=JaElOq" TargetMode="External"/><Relationship Id="rId620" Type="http://schemas.openxmlformats.org/officeDocument/2006/relationships/hyperlink" Target="https://wgcp.sharepoint.com0/" TargetMode="External"/><Relationship Id="rId357" Type="http://schemas.openxmlformats.org/officeDocument/2006/relationships/hyperlink" Target="mailto:moises.rojas@blend360.com" TargetMode="External"/><Relationship Id="rId54" Type="http://schemas.openxmlformats.org/officeDocument/2006/relationships/hyperlink" Target="mailto:alejandra.gomez@blend360.com" TargetMode="External"/><Relationship Id="rId217" Type="http://schemas.openxmlformats.org/officeDocument/2006/relationships/hyperlink" Target="mailto:daniela.munoz@blend360.com" TargetMode="External"/><Relationship Id="rId564" Type="http://schemas.openxmlformats.org/officeDocument/2006/relationships/hyperlink" Target="mailto:carlos.sierra@blend360.com" TargetMode="External"/><Relationship Id="rId424" Type="http://schemas.openxmlformats.org/officeDocument/2006/relationships/hyperlink" Target="../../NUVU-Proyectos/Shared%20Documents/Forms/AllItems.aspx?id=%2Fsites%2FNUVU%2DProyectos%2FShared%20Documents%2FU%2FUniversidad%20Nacional%2FOSES%202025%2F%5BP0336%5D%20UNA%20Gesti%C3%B3n%20de%20Informaci%C3%B3n%2F00%2E%20Administrativo&amp;viewid=1dd39751%2D8a05%2D4043%2D9a9c%2D470bed0d9f3c" TargetMode="External"/><Relationship Id="rId631" Type="http://schemas.openxmlformats.org/officeDocument/2006/relationships/hyperlink" Target="https://wgcp.sharepoint.com0/" TargetMode="External"/><Relationship Id="rId270" Type="http://schemas.openxmlformats.org/officeDocument/2006/relationships/hyperlink" Target="mailto:karen.arandia@nuvu.cc" TargetMode="External"/><Relationship Id="rId65" Type="http://schemas.openxmlformats.org/officeDocument/2006/relationships/hyperlink" Target="mailto:ciliana.capera@blend360.com" TargetMode="External"/><Relationship Id="rId130" Type="http://schemas.openxmlformats.org/officeDocument/2006/relationships/hyperlink" Target="mailto:juan.bernal@blend360.com" TargetMode="External"/><Relationship Id="rId368" Type="http://schemas.openxmlformats.org/officeDocument/2006/relationships/hyperlink" Target="../../../:f:/s/NUVU-Proyectos/EvC-Quqi7xpNrpd2JphNWOkBTyTDM96P_ouQ27_Nhq3VHA?e=ktATn5" TargetMode="External"/><Relationship Id="rId575" Type="http://schemas.openxmlformats.org/officeDocument/2006/relationships/hyperlink" Target="mailto:alejandra.gomez@blend360.com" TargetMode="External"/><Relationship Id="rId228" Type="http://schemas.openxmlformats.org/officeDocument/2006/relationships/hyperlink" Target="mailto:nicolas.revollo@blend360.com" TargetMode="External"/><Relationship Id="rId435" Type="http://schemas.openxmlformats.org/officeDocument/2006/relationships/hyperlink" Target="../../NUVU-Proyectos/Shared%20Documents/Forms/AllItems.aspx?id=%2Fsites%2FNUVU%2DProyectos%2FShared%20Documents%2FU%2FUniversidad%20Nacional%2FOSES%202025%2F%5BP0355%5D%20Dinara%2F00%2E%20Administrativos&amp;viewid=1dd39751%2D8a05%2D4043%2D9a9c%2D470bed0d9f3c&amp;newTargetListUrl=%2Fsites%2FNUVU%2DProyectos%2FShared%20Documents&amp;viewpath=%2Fsites%2FNUVU%2DProyectos%2FShared%20Documents%2FForms%2FAllItems%2Easpx" TargetMode="External"/><Relationship Id="rId642" Type="http://schemas.openxmlformats.org/officeDocument/2006/relationships/hyperlink" Target="../../../:b:/s/NUVU-Proyectos/IQCCwrTkGksXSbLTxJjBNb9vAemEaQrJYCnQyQNzVjebRPM?e=dNTXwP" TargetMode="External"/><Relationship Id="rId281" Type="http://schemas.openxmlformats.org/officeDocument/2006/relationships/hyperlink" Target="mailto:alejandra.gomez@blend360.com" TargetMode="External"/><Relationship Id="rId502" Type="http://schemas.openxmlformats.org/officeDocument/2006/relationships/hyperlink" Target="../../../:f:/s/NUVU-Proyectos/IgB0VMBRdKu-R6_ijOvi2iOMAXAjSG9P9RmyssH4yPcnqqE?e=2zHYT4" TargetMode="External"/><Relationship Id="rId76" Type="http://schemas.openxmlformats.org/officeDocument/2006/relationships/hyperlink" Target="mailto:nicolas.revollo@blend360.com" TargetMode="External"/><Relationship Id="rId141" Type="http://schemas.openxmlformats.org/officeDocument/2006/relationships/hyperlink" Target="https://drive.google.com/drive/u/0/folders/1DR7V2szJKFTDWlCG49lgFe_CJ2NqeMbF" TargetMode="External"/><Relationship Id="rId379" Type="http://schemas.openxmlformats.org/officeDocument/2006/relationships/hyperlink" Target="../../../:f:/s/NUVU-Proyectos/EoCgS_u3-85FjOn2YqyVS0cB8sopM0KfNugvwFhaYz1e8g?e=IK06Yf" TargetMode="External"/><Relationship Id="rId586" Type="http://schemas.openxmlformats.org/officeDocument/2006/relationships/hyperlink" Target="mailto:carlos.sierra@blend360.com" TargetMode="External"/><Relationship Id="rId7" Type="http://schemas.openxmlformats.org/officeDocument/2006/relationships/hyperlink" Target="https://drive.google.com/drive/folders/1fnWc5crihol-5gQFbgN1sE8Ac9dgusol" TargetMode="External"/><Relationship Id="rId239" Type="http://schemas.openxmlformats.org/officeDocument/2006/relationships/hyperlink" Target="mailto:moises.rojas@blend360.com" TargetMode="External"/><Relationship Id="rId446" Type="http://schemas.openxmlformats.org/officeDocument/2006/relationships/hyperlink" Target="../../NUVU-Proyectos/Shared%20Documents/Forms/AllItems.aspx?id=%2Fsites%2FNUVU%2DProyectos%2FShared%20Documents%2FA%2FADRES%2F%5BP2294%5D%20%2D%20ADR%20%2D%20MVP%20auditorias%2F00%20Administrativos%2FHabilitadores&amp;viewid=1dd39751%2D8a05%2D4043%2D9a9c%2D470bed0d9f3c" TargetMode="External"/><Relationship Id="rId653" Type="http://schemas.openxmlformats.org/officeDocument/2006/relationships/vmlDrawing" Target="../drawings/vmlDrawing2.vml"/><Relationship Id="rId292" Type="http://schemas.openxmlformats.org/officeDocument/2006/relationships/hyperlink" Target="mailto:marcela.sanchez@blend360.com" TargetMode="External"/><Relationship Id="rId306" Type="http://schemas.openxmlformats.org/officeDocument/2006/relationships/hyperlink" Target="https://drive.google.com/drive/folders/1X4iELvATSIXxv9fAYa9XJVZ8gAnjLE8l" TargetMode="External"/><Relationship Id="rId87" Type="http://schemas.openxmlformats.org/officeDocument/2006/relationships/hyperlink" Target="mailto:karen.arandia@nuvu.cc" TargetMode="External"/><Relationship Id="rId513" Type="http://schemas.openxmlformats.org/officeDocument/2006/relationships/hyperlink" Target="mailto:alejandra.gomez@blend360.com" TargetMode="External"/><Relationship Id="rId597" Type="http://schemas.openxmlformats.org/officeDocument/2006/relationships/hyperlink" Target="https://wgcp.sharepoint.com0/" TargetMode="External"/><Relationship Id="rId152" Type="http://schemas.openxmlformats.org/officeDocument/2006/relationships/hyperlink" Target="mailto:alejandra.gomez@blend360.com" TargetMode="External"/><Relationship Id="rId457" Type="http://schemas.openxmlformats.org/officeDocument/2006/relationships/hyperlink" Target="mailto:karen.arandia@nuvu.cc" TargetMode="External"/><Relationship Id="rId14" Type="http://schemas.openxmlformats.org/officeDocument/2006/relationships/hyperlink" Target="https://drive.google.com/drive/folders/1X4iELvATSIXxv9fAYa9XJVZ8gAnjLE8l" TargetMode="External"/><Relationship Id="rId317" Type="http://schemas.openxmlformats.org/officeDocument/2006/relationships/hyperlink" Target="mailto:ciliana.capera@blend360.com" TargetMode="External"/><Relationship Id="rId524" Type="http://schemas.openxmlformats.org/officeDocument/2006/relationships/hyperlink" Target="mailto:alejandra.gomez@blend360.com" TargetMode="External"/><Relationship Id="rId98" Type="http://schemas.openxmlformats.org/officeDocument/2006/relationships/hyperlink" Target="mailto:karen.arandia@nuvu.cc" TargetMode="External"/><Relationship Id="rId163" Type="http://schemas.openxmlformats.org/officeDocument/2006/relationships/hyperlink" Target="https://drive.google.com/drive/folders/1gkCNndZy0GmWqWmlDN4A-bMntclADHib" TargetMode="External"/><Relationship Id="rId370" Type="http://schemas.openxmlformats.org/officeDocument/2006/relationships/hyperlink" Target="../../../:f:/s/NUVU-Proyectos/EqBuSQ7YCJxGmO8MUC_HyUkBFU8LQa4vio2ub9bKkqAtxQ?e=9Dht22" TargetMode="External"/><Relationship Id="rId230" Type="http://schemas.openxmlformats.org/officeDocument/2006/relationships/hyperlink" Target="mailto:karen.arandia@nuvu.cc" TargetMode="External"/><Relationship Id="rId468" Type="http://schemas.openxmlformats.org/officeDocument/2006/relationships/hyperlink" Target="../../../:f:/s/NUVU-Proyectos/EigIuz4hpPtBj5V2MDV5PfkBtehrrUqLaWUDWxC41UqE-A?e=zjWO8i" TargetMode="External"/><Relationship Id="rId25" Type="http://schemas.openxmlformats.org/officeDocument/2006/relationships/hyperlink" Target="https://drive.google.com/drive/folders/1KbVHP5h-x0K6AaajTwoXU0GLl8r1YQ95" TargetMode="External"/><Relationship Id="rId328" Type="http://schemas.openxmlformats.org/officeDocument/2006/relationships/hyperlink" Target="mailto:daniela.munoz@blend360.com" TargetMode="External"/><Relationship Id="rId535" Type="http://schemas.openxmlformats.org/officeDocument/2006/relationships/hyperlink" Target="mailto:carlos.sierra@blend360.com" TargetMode="External"/><Relationship Id="rId174" Type="http://schemas.openxmlformats.org/officeDocument/2006/relationships/hyperlink" Target="https://drive.google.com/drive/folders/1zZw5xbWNyOcUCUDlhfco4xaz6OZ7XdXe" TargetMode="External"/><Relationship Id="rId381" Type="http://schemas.openxmlformats.org/officeDocument/2006/relationships/hyperlink" Target="../../../:f:/s/NUVU-Proyectos/EoCgS_u3-85FjOn2YqyVS0cB8sopM0KfNugvwFhaYz1e8g?e=IK06Yf" TargetMode="External"/><Relationship Id="rId602" Type="http://schemas.openxmlformats.org/officeDocument/2006/relationships/hyperlink" Target="../../../:b:/s/NUVU-Proyectos/IQABo-cM_kQ9VrOfm--k8tbVAaRLttd3dWlyy9s53napM7A?e=UbppNX" TargetMode="External"/><Relationship Id="rId241" Type="http://schemas.openxmlformats.org/officeDocument/2006/relationships/hyperlink" Target="mailto:ciliana.capera@blend360.com" TargetMode="External"/><Relationship Id="rId479" Type="http://schemas.openxmlformats.org/officeDocument/2006/relationships/hyperlink" Target="../../NUVU-Proyectos/Shared%20Documents/Forms/AllItems.aspx?id=%2Fsites%2FNUVU%2DProyectos%2FShared%20Documents%2FU%2FUniversidad%20Nacional%2F%5BP0387%5D%20CO%2D%20Universidad%20Nacional%20%2D%20Fortinet%2F01%2E%20Documentaci%C3%B3n%20Esencial&amp;viewid=1dd39751%2D8a05%2D4043%2D9a9c%2D470bed0d9f3c&amp;newTargetListUrl=%2Fsites%2FNUVU%2DProyectos%2FShared%20Documents&amp;viewpath=%2Fsites%2FNUVU%2DProyectos%2FShared%20Documents%2FForms%2FAllItems%2Easpx" TargetMode="External"/><Relationship Id="rId36" Type="http://schemas.openxmlformats.org/officeDocument/2006/relationships/hyperlink" Target="https://drive.google.com/drive/u/0/folders/113jIx4Sscgye7QpsmyJJ_tjK1rALFHfT" TargetMode="External"/><Relationship Id="rId339" Type="http://schemas.openxmlformats.org/officeDocument/2006/relationships/hyperlink" Target="mailto:ciliana.capera@blend360.com" TargetMode="External"/><Relationship Id="rId546" Type="http://schemas.openxmlformats.org/officeDocument/2006/relationships/hyperlink" Target="mailto:carlos.sierra@blend360.com" TargetMode="External"/><Relationship Id="rId101" Type="http://schemas.openxmlformats.org/officeDocument/2006/relationships/hyperlink" Target="mailto:ciliana.capera@blend360.com" TargetMode="External"/><Relationship Id="rId185" Type="http://schemas.openxmlformats.org/officeDocument/2006/relationships/hyperlink" Target="https://drive.google.com/drive/folders/16SAZSrznaM2MTPbdi5HRcOIhH0scT5r8" TargetMode="External"/><Relationship Id="rId406" Type="http://schemas.openxmlformats.org/officeDocument/2006/relationships/hyperlink" Target="../../../:f:/s/NUVU-Proyectos/Ej--cVMKMsFDgfNmUgDGOkkBEC6Ztt7Z_R5FkPp4LTA0kw?e=y858hW" TargetMode="External"/><Relationship Id="rId392" Type="http://schemas.openxmlformats.org/officeDocument/2006/relationships/hyperlink" Target="../../../:f:/s/NUVU-Proyectos/En6SRDZPljZMm6Bf8FjWEYsBHMnGmGQW9m51yCMebHJKaw?e=BnddNS" TargetMode="External"/><Relationship Id="rId613" Type="http://schemas.openxmlformats.org/officeDocument/2006/relationships/hyperlink" Target="../../../:b:/s/NUVU-Proyectos/IQC01iv30o1cQKNN4ZwjJ7n1AasLMGxE8NB64BWpHAPOi98?e=CccexS" TargetMode="External"/><Relationship Id="rId252" Type="http://schemas.openxmlformats.org/officeDocument/2006/relationships/hyperlink" Target="mailto:ciliana.capera@blend360.com" TargetMode="External"/><Relationship Id="rId47" Type="http://schemas.openxmlformats.org/officeDocument/2006/relationships/hyperlink" Target="mailto:alejandra.gomez@blend360.com" TargetMode="External"/><Relationship Id="rId112" Type="http://schemas.openxmlformats.org/officeDocument/2006/relationships/hyperlink" Target="mailto:alejandra.gomez@blend360.com" TargetMode="External"/><Relationship Id="rId557" Type="http://schemas.openxmlformats.org/officeDocument/2006/relationships/hyperlink" Target="mailto:carlos.sierra@blend360.com" TargetMode="External"/><Relationship Id="rId196" Type="http://schemas.openxmlformats.org/officeDocument/2006/relationships/hyperlink" Target="mailto:karen.arandia@nuvu.cc" TargetMode="External"/><Relationship Id="rId417" Type="http://schemas.openxmlformats.org/officeDocument/2006/relationships/hyperlink" Target="../../NUVU-Proyectos/Shared%20Documents/Forms/AllItems.aspx?id=%2Fsites%2FNUVU%2DProyectos%2FShared%20Documents%2FC%2FCAT%20%2D%20Catastro%20Distrital%2F%5BP2124%5D%20CAT%20%2D%20Agente%20Cognitivo%20e%20Infraestructura%20AWS%2F01%2E%20Documentaci%C3%B3n%20esencial%2F01%20%2D%20Habilitadores&amp;viewid=1dd39751%2D8a05%2D4043%2D9a9c%2D470bed0d9f3c" TargetMode="External"/><Relationship Id="rId624" Type="http://schemas.openxmlformats.org/officeDocument/2006/relationships/hyperlink" Target="https://wgcp.sharepoint.com0/" TargetMode="External"/><Relationship Id="rId263" Type="http://schemas.openxmlformats.org/officeDocument/2006/relationships/hyperlink" Target="mailto:nicolas.revollo@blend360.com" TargetMode="External"/><Relationship Id="rId470" Type="http://schemas.openxmlformats.org/officeDocument/2006/relationships/hyperlink" Target="../../NUVU-Comercial/Shared%20Documents/Forms/AllItems.aspx?id=%2Fsites%2FNUVU%2DComercial%2FShared%20Documents%2FI%2FICFES%20%2D%20Instituto%20Colombiano%20para%20la%20Evaluaci%C3%B3n%20de%20la%20Educaci%C3%B3n%2F2025%2FBanco%20de%20Items%2FV2%20%28sin%20buscador%29&amp;viewid=1dd39751%2D8a05%2D4043%2D9a9c%2D470bed0d9f3c&amp;newTargetListUrl=%2Fsites%2FNUVU%2DComercial%2FShared%20Documents&amp;viewpath=%2Fsites%2FNUVU%2DComercial%2FShared%20Documents%2FForms%2FAllItems%2Easpx" TargetMode="External"/><Relationship Id="rId58" Type="http://schemas.openxmlformats.org/officeDocument/2006/relationships/hyperlink" Target="mailto:ciliana.capera@blend360.com" TargetMode="External"/><Relationship Id="rId123" Type="http://schemas.openxmlformats.org/officeDocument/2006/relationships/hyperlink" Target="mailto:ciliana.capera@blend360.com" TargetMode="External"/><Relationship Id="rId330" Type="http://schemas.openxmlformats.org/officeDocument/2006/relationships/hyperlink" Target="mailto:karen.arandia@nuvu.cc" TargetMode="External"/><Relationship Id="rId568" Type="http://schemas.openxmlformats.org/officeDocument/2006/relationships/hyperlink" Target="../../../:f:/s/NUVU-Proyectos/IgB68qsaCLmSTrDbWkqZnqTyATfJueQdJLBQJMSDu3B8TqE?e=Q3pHjW" TargetMode="External"/><Relationship Id="rId165" Type="http://schemas.openxmlformats.org/officeDocument/2006/relationships/hyperlink" Target="mailto:daniela.munoz@blend360.com" TargetMode="External"/><Relationship Id="rId372" Type="http://schemas.openxmlformats.org/officeDocument/2006/relationships/hyperlink" Target="../../../:f:/s/NUVU-Proyectos/EnKr9BIZ2KhLltXalrhCErAB0g8zR33QuKnbG5rqur8s_g?e=DMsbDw" TargetMode="External"/><Relationship Id="rId428" Type="http://schemas.openxmlformats.org/officeDocument/2006/relationships/hyperlink" Target="../../NUVU-Proyectos/Shared%20Documents/Forms/AllItems.aspx?id=%2Fsites%2FNUVU%2DProyectos%2FShared%20Documents%2FU%2FUniversidad%20Nacional%2FOSES%202025%2F%5BP0305%5D%20Repositorio%20Cloud%2F00%2E%20Administrativos&amp;newTargetListUrl=%2Fsites%2FNUVU%2DProyectos%2FShared%20Documents&amp;viewpath=%2Fsites%2FNUVU%2DProyectos%2FShared%20Documents%2FForms%2FAllItems%2Easpx" TargetMode="External"/><Relationship Id="rId635" Type="http://schemas.openxmlformats.org/officeDocument/2006/relationships/hyperlink" Target="../../../:w:/s/NUVU-Proyectos/IQA9oIY0obOTQ6_ALa_5n2xTAaWa9YjVIcun8GeiHrD14V0?e=eulf6c" TargetMode="External"/><Relationship Id="rId232" Type="http://schemas.openxmlformats.org/officeDocument/2006/relationships/hyperlink" Target="mailto:juan.bernal@blend360.com" TargetMode="External"/><Relationship Id="rId274" Type="http://schemas.openxmlformats.org/officeDocument/2006/relationships/hyperlink" Target="mailto:karen.arandia@nuvu.cc" TargetMode="External"/><Relationship Id="rId481" Type="http://schemas.openxmlformats.org/officeDocument/2006/relationships/hyperlink" Target="../../NUVU-Comercial/Shared%20Documents/Forms/AllItems.aspx?id=%2Fsites%2FNUVU%2DComercial%2FShared%20Documents%2FI%2FICFES%20%2D%20Instituto%20Colombiano%20para%20la%20Evaluaci%C3%B3n%20de%20la%20Educaci%C3%B3n%2F2025%2FRenovaci%C3%B3n%20Datalake%202025%20Fase%202%2FArtefactos%20finales%20icfes%20Datalake%20Nov%202025%20%2D%20Ene%202026&amp;viewid=1dd39751%2D8a05%2D4043%2D9a9c%2D470bed0d9f3c&amp;newTargetListUrl=%2Fsites%2FNUVU%2DComercial%2FShared%20Documents&amp;viewpath=%2Fsites%2FNUVU%2DComercial%2FShared%20Documents%2FForms%2FAllItems%2Easpx" TargetMode="External"/><Relationship Id="rId27" Type="http://schemas.openxmlformats.org/officeDocument/2006/relationships/hyperlink" Target="https://drive.google.com/drive/u/0/folders/1cVn5OV2MjbHmVK3tLqmarV5AQyJQ-w0C" TargetMode="External"/><Relationship Id="rId69" Type="http://schemas.openxmlformats.org/officeDocument/2006/relationships/hyperlink" Target="mailto:nicolas.revollo@blend360.com" TargetMode="External"/><Relationship Id="rId134" Type="http://schemas.openxmlformats.org/officeDocument/2006/relationships/hyperlink" Target="mailto:ciliana.capera@blend360.com" TargetMode="External"/><Relationship Id="rId537" Type="http://schemas.openxmlformats.org/officeDocument/2006/relationships/hyperlink" Target="mailto:carlos.sierra@blend360.com" TargetMode="External"/><Relationship Id="rId579" Type="http://schemas.openxmlformats.org/officeDocument/2006/relationships/hyperlink" Target="mailto:marcela.sanchez@blend360.com" TargetMode="External"/><Relationship Id="rId80" Type="http://schemas.openxmlformats.org/officeDocument/2006/relationships/hyperlink" Target="mailto:alejandra.gomez@blend360.com" TargetMode="External"/><Relationship Id="rId176" Type="http://schemas.openxmlformats.org/officeDocument/2006/relationships/hyperlink" Target="mailto:juan.bernal@blend360.com" TargetMode="External"/><Relationship Id="rId341" Type="http://schemas.openxmlformats.org/officeDocument/2006/relationships/hyperlink" Target="mailto:ciliana.capera@blend360.com" TargetMode="External"/><Relationship Id="rId383" Type="http://schemas.openxmlformats.org/officeDocument/2006/relationships/hyperlink" Target="../../../:f:/s/NUVU-Proyectos/EkdbNixGBDtHtvqh1caU3VoB1bCkVnQr2AWWtKe3WST_gg?e=yGIcRa" TargetMode="External"/><Relationship Id="rId439" Type="http://schemas.openxmlformats.org/officeDocument/2006/relationships/hyperlink" Target="../../NUVU-Proyectos/Shared%20Documents/Forms/AllItems.aspx?id=%2Fsites%2FNUVU%2DProyectos%2FShared%20Documents%2FU%2FUniversidad%20Nacional%2FOSES%202025%2F%5BP0295%5D%20Unisalud%2F00%2E%20Administrativos&amp;newTargetListUrl=%2Fsites%2FNUVU%2DProyectos%2FShared%20Documents&amp;viewpath=%2Fsites%2FNUVU%2DProyectos%2FShared%20Documents%2FForms%2FAllItems%2Easpx" TargetMode="External"/><Relationship Id="rId590" Type="http://schemas.openxmlformats.org/officeDocument/2006/relationships/hyperlink" Target="../../../:f:/s/NUVU-Proyectos/EigIuz4hpPtBj5V2MDV5PfkBtehrrUqLaWUDWxC41UqE-A?e=zjWO8i" TargetMode="External"/><Relationship Id="rId604" Type="http://schemas.openxmlformats.org/officeDocument/2006/relationships/hyperlink" Target="../../../:b:/s/NUVU-Proyectos/IQDJnsqiNVfpTbccOK-MQ9nYAa9XyfYp_0YM63foO3LfT0M?e=W41JKm" TargetMode="External"/><Relationship Id="rId646" Type="http://schemas.openxmlformats.org/officeDocument/2006/relationships/hyperlink" Target="../../../:w:/s/NUVU-Proyectos/IQCuR_0QZ96uQqNsR7_kj69WAUlg7xlBP-GdOU--BvlcwNw?e=bcdF7j" TargetMode="External"/><Relationship Id="rId201" Type="http://schemas.openxmlformats.org/officeDocument/2006/relationships/hyperlink" Target="mailto:karen.arandia@nuvu.cc" TargetMode="External"/><Relationship Id="rId243" Type="http://schemas.openxmlformats.org/officeDocument/2006/relationships/hyperlink" Target="mailto:juan.bernal@blend360.com" TargetMode="External"/><Relationship Id="rId285" Type="http://schemas.openxmlformats.org/officeDocument/2006/relationships/hyperlink" Target="https://drive.google.com/drive/u/0/folders/1YzbrEvndEMrjKCjzwbzOxFfgee0BpVw2" TargetMode="External"/><Relationship Id="rId450" Type="http://schemas.openxmlformats.org/officeDocument/2006/relationships/hyperlink" Target="../../../:b:/s/NUVU-Proyectos/ESkDD27ESSdGle5eFnDtJ48Bp_O_B_J-WKPkH-3pjpL82g?e=pHhc4Z" TargetMode="External"/><Relationship Id="rId506" Type="http://schemas.openxmlformats.org/officeDocument/2006/relationships/hyperlink" Target="../../../:f:/s/NUVU-Legal/IgCM47sl4OKZQZXdgdJHSLOSAQOpWLsfn53MGNu6FlV6t1I?e=vEFqPi" TargetMode="External"/><Relationship Id="rId38" Type="http://schemas.openxmlformats.org/officeDocument/2006/relationships/hyperlink" Target="mailto:karen.arandia@nuvu.cc" TargetMode="External"/><Relationship Id="rId103" Type="http://schemas.openxmlformats.org/officeDocument/2006/relationships/hyperlink" Target="mailto:karen.arandia@nuvu.cc" TargetMode="External"/><Relationship Id="rId310" Type="http://schemas.openxmlformats.org/officeDocument/2006/relationships/hyperlink" Target="mailto:juan.bernal@blend360.com" TargetMode="External"/><Relationship Id="rId492" Type="http://schemas.openxmlformats.org/officeDocument/2006/relationships/hyperlink" Target="mailto:alejandra.gomez@blend360.com" TargetMode="External"/><Relationship Id="rId548" Type="http://schemas.openxmlformats.org/officeDocument/2006/relationships/hyperlink" Target="mailto:carlos.sierra@blend360.com" TargetMode="External"/><Relationship Id="rId91" Type="http://schemas.openxmlformats.org/officeDocument/2006/relationships/hyperlink" Target="mailto:marcela.sanchez@blend360.com" TargetMode="External"/><Relationship Id="rId145" Type="http://schemas.openxmlformats.org/officeDocument/2006/relationships/hyperlink" Target="mailto:alejandra.gomez@blend360.com" TargetMode="External"/><Relationship Id="rId187" Type="http://schemas.openxmlformats.org/officeDocument/2006/relationships/hyperlink" Target="mailto:karen.arandia@nuvu.cc" TargetMode="External"/><Relationship Id="rId352" Type="http://schemas.openxmlformats.org/officeDocument/2006/relationships/hyperlink" Target="https://drive.google.com/drive/folders/1S6F4S4Z3RYSYXE5GL-pnR23zYwHbeLJJ" TargetMode="External"/><Relationship Id="rId394" Type="http://schemas.openxmlformats.org/officeDocument/2006/relationships/hyperlink" Target="../../../:f:/s/NUVU-Proyectos/EsvTnIt3BIBAnvzPx6cAHJsBf5NyJfTxI05iRYprgjbTwQ?e=J5LaLf" TargetMode="External"/><Relationship Id="rId408" Type="http://schemas.openxmlformats.org/officeDocument/2006/relationships/hyperlink" Target="../../../:f:/s/NUVU-Proyectos/EmcWFnNU1JpJjUwSBDvzPtcBP4WpVOVE4Ot6cfLRS7yUvQ?e=klBQBM" TargetMode="External"/><Relationship Id="rId615" Type="http://schemas.openxmlformats.org/officeDocument/2006/relationships/hyperlink" Target="../../../:b:/s/NUVU-Proyectos/IQC01iv30o1cQKNN4ZwjJ7n1AasLMGxE8NB64BWpHAPOi98?e=CccexS" TargetMode="External"/><Relationship Id="rId212" Type="http://schemas.openxmlformats.org/officeDocument/2006/relationships/hyperlink" Target="mailto:nicolas.revollo@blend360.com" TargetMode="External"/><Relationship Id="rId254" Type="http://schemas.openxmlformats.org/officeDocument/2006/relationships/hyperlink" Target="../../../:f:/s/NUVU-Proyectos/EiEXLzT7-AdFsRFyKZgyLpgBM1u5HmDv2pJ1rTFcGASBiQ?e=Dh9deM" TargetMode="External"/><Relationship Id="rId657" Type="http://schemas.microsoft.com/office/2019/04/relationships/namedSheetView" Target="../namedSheetViews/namedSheetView2.xml"/><Relationship Id="rId49" Type="http://schemas.openxmlformats.org/officeDocument/2006/relationships/hyperlink" Target="mailto:alejandra.gomez@blend360.com" TargetMode="External"/><Relationship Id="rId114" Type="http://schemas.openxmlformats.org/officeDocument/2006/relationships/hyperlink" Target="mailto:nicolas.revollo@blend360.com" TargetMode="External"/><Relationship Id="rId296" Type="http://schemas.openxmlformats.org/officeDocument/2006/relationships/hyperlink" Target="mailto:moises.rojas@blend360.com" TargetMode="External"/><Relationship Id="rId461" Type="http://schemas.openxmlformats.org/officeDocument/2006/relationships/hyperlink" Target="../../NUVU-Proyectos/Shared%20Documents/Forms/AllItems.aspx?id=%2Fsites%2FNUVU%2DProyectos%2FShared%20Documents%2FA%2FAlcaldia%20de%20Cali%2F%5BP2604%5D%20ACA%20%2D%20Hacienda%20a%20un%20Click&amp;viewid=1dd39751%2D8a05%2D4043%2D9a9c%2D470bed0d9f3c" TargetMode="External"/><Relationship Id="rId517" Type="http://schemas.openxmlformats.org/officeDocument/2006/relationships/hyperlink" Target="../../NUVU-Proyectos/Shared%20Documents/Forms/AllItems.aspx?viewid=1dd39751%2D8a05%2D4043%2D9a9c%2D470bed0d9f3c&amp;ga=1&amp;id=%2Fsites%2FNUVU%2DProyectos%2FShared%20Documents%2FF%2FFiduagraria%2FSmartcash%2F%5BP0000%5D%20%2D%20Smartcash%20Operaci%C3%B3n%202026%2F01%2E%20Documentaci%C3%B3n%20esencial%2F01%2E%20Contrato%2FOTROSI%204%20CTO%20032%2D2021%2E%20HIGH%20TECH%2Epdf&amp;parent=%2Fsites%2FNUVU%2DProyectos%2FShared%20Documents%2FF%2FFiduagraria%2FSmartcash%2F%5BP0000%5D%20%2D%20Smartcash%20Operaci%C3%B3n%202026%2F01%2E%20Documentaci%C3%B3n%20esencial%2F01%2E%20Contrato" TargetMode="External"/><Relationship Id="rId559" Type="http://schemas.openxmlformats.org/officeDocument/2006/relationships/hyperlink" Target="mailto:carlos.sierra@blend360.com" TargetMode="External"/><Relationship Id="rId60" Type="http://schemas.openxmlformats.org/officeDocument/2006/relationships/hyperlink" Target="mailto:fernando.ortega@blend360.com" TargetMode="External"/><Relationship Id="rId156" Type="http://schemas.openxmlformats.org/officeDocument/2006/relationships/hyperlink" Target="../../NUVU-Proyectos/Shared%20Documents/Forms/AllItems.aspx?id=%2Fsites%2FNUVU%2DProyectos%2FShared%20Documents%2FU%2FUniversidad%20Nacional&amp;sortField=LinkFilename&amp;isAscending=true&amp;viewid=1dd39751%2D8a05%2D4043%2D9a9c%2D470bed0d9f3c&amp;CT=1747430562325&amp;OR=OWA%2DNT%2DMail&amp;CID=e9f8afa4%2Ddaa0%2Daa3d%2D3c26%2Daceec7c7ca03" TargetMode="External"/><Relationship Id="rId198" Type="http://schemas.openxmlformats.org/officeDocument/2006/relationships/hyperlink" Target="https://drive.google.com/drive/folders/1G0v-qHM_XqIqAPUDbz9H8ldoFd_uYKhR" TargetMode="External"/><Relationship Id="rId321" Type="http://schemas.openxmlformats.org/officeDocument/2006/relationships/hyperlink" Target="mailto:moises.rojas@blend360.com" TargetMode="External"/><Relationship Id="rId363" Type="http://schemas.openxmlformats.org/officeDocument/2006/relationships/hyperlink" Target="mailto:karen.arandia@nuvu.cc" TargetMode="External"/><Relationship Id="rId419" Type="http://schemas.openxmlformats.org/officeDocument/2006/relationships/hyperlink" Target="../../NUVU-Proyectos/Shared%20Documents/Forms/AllItems.aspx?id=%2Fsites%2FNUVU%2DProyectos%2FShared%20Documents%2FA%2FADRES%2F%5BP2294%5D%20%2D%20ADR%20%2D%20MVP%20auditorias%2F00%20Administrativos%2FHabilitadores&amp;viewid=1dd39751%2D8a05%2D4043%2D9a9c%2D470bed0d9f3c" TargetMode="External"/><Relationship Id="rId570" Type="http://schemas.openxmlformats.org/officeDocument/2006/relationships/hyperlink" Target="../../NUVU-Proyectos/Shared%20Documents/Forms/AllItems.aspx?id=%2Fsites%2FNUVU%2DProyectos%2FShared%20Documents%2FU%2FUniversidad%20Nacional%2FOSES%202025%2F%5BP0340%5D%20Facultad%20de%20Ingenier%C3%ADa%2F00%2E%20Administrativos&amp;viewid=1dd39751%2D8a05%2D4043%2D9a9c%2D470bed0d9f3c&amp;newTargetListUrl=%2Fsites%2FNUVU%2DProyectos%2FShared%20Documents&amp;viewpath=%2Fsites%2FNUVU%2DProyectos%2FShared%20Documents%2FForms%2FAllItems%2Easpx" TargetMode="External"/><Relationship Id="rId626" Type="http://schemas.openxmlformats.org/officeDocument/2006/relationships/hyperlink" Target="https://wgcp.sharepoint.com0/" TargetMode="External"/><Relationship Id="rId223" Type="http://schemas.openxmlformats.org/officeDocument/2006/relationships/hyperlink" Target="mailto:moises.rojas@blend360.com" TargetMode="External"/><Relationship Id="rId430" Type="http://schemas.openxmlformats.org/officeDocument/2006/relationships/hyperlink" Target="../../NUVU-Proyectos/Shared%20Documents/Forms/AllItems.aspx?id=%2Fsites%2FNUVU%2DProyectos%2FShared%20Documents%2FU%2FUniversidad%20Nacional%2FOSES%202025%2F%5BP0295%5D%20Unisalud%2F00%2E%20Administrativos&amp;newTargetListUrl=%2Fsites%2FNUVU%2DProyectos%2FShared%20Documents&amp;viewpath=%2Fsites%2FNUVU%2DProyectos%2FShared%20Documents%2FForms%2FAllItems%2Easpx" TargetMode="External"/><Relationship Id="rId18" Type="http://schemas.openxmlformats.org/officeDocument/2006/relationships/hyperlink" Target="https://drive.google.com/drive/u/0/folders/1rSSZmQyh1DVeJmAkh_48nvRCq0MMNwSD" TargetMode="External"/><Relationship Id="rId265" Type="http://schemas.openxmlformats.org/officeDocument/2006/relationships/hyperlink" Target="mailto:ciliana.capera@blend360.com" TargetMode="External"/><Relationship Id="rId472" Type="http://schemas.openxmlformats.org/officeDocument/2006/relationships/hyperlink" Target="../../NUVU-Comercial/Shared%20Documents/Forms/AllItems.aspx?id=%2Fsites%2FNUVU%2DComercial%2FShared%20Documents%2FI%2FICFES%20%2D%20Instituto%20Colombiano%20para%20la%20Evaluaci%C3%B3n%20de%20la%20Educaci%C3%B3n%2F2025%2FMigracion%20Infraestructura%2FOperac%C3%B3n%20en%20AWS%20a%20partir%20de%20oct%202025&amp;viewid=1dd39751%2D8a05%2D4043%2D9a9c%2D470bed0d9f3c&amp;newTargetListUrl=%2Fsites%2FNUVU%2DComercial%2FShared%20Documents&amp;viewpath=%2Fsites%2FNUVU%2DComercial%2FShared%20Documents%2FForms%2FAllItems%2Easpx" TargetMode="External"/><Relationship Id="rId528" Type="http://schemas.openxmlformats.org/officeDocument/2006/relationships/hyperlink" Target="mailto:juan.bernal@blend360.com" TargetMode="External"/><Relationship Id="rId125" Type="http://schemas.openxmlformats.org/officeDocument/2006/relationships/hyperlink" Target="../../../:f:/s/NUVU-Proyectos/EiEXLzT7-AdFsRFyKZgyLpgBM1u5HmDv2pJ1rTFcGASBiQ?e=Dh9deM" TargetMode="External"/><Relationship Id="rId167" Type="http://schemas.openxmlformats.org/officeDocument/2006/relationships/hyperlink" Target="../../../:f:/s/NUVU-Proyectos/EkTfHxkHPglGiBhmWIgQilIBxvvbqsSGQeMj-_pNdcPi7Q?e=C2c0JS" TargetMode="External"/><Relationship Id="rId332" Type="http://schemas.openxmlformats.org/officeDocument/2006/relationships/hyperlink" Target="mailto:karen.arandia@nuvu.cc" TargetMode="External"/><Relationship Id="rId374" Type="http://schemas.openxmlformats.org/officeDocument/2006/relationships/hyperlink" Target="../../../:f:/s/NUVU-Proyectos/Ei9M587w-jdMtM8LCqlbNI0BCcmVLPz51nTL0AlciKRu-A?e=5QpWoj" TargetMode="External"/><Relationship Id="rId581" Type="http://schemas.openxmlformats.org/officeDocument/2006/relationships/hyperlink" Target="../../NUVU-Proyectos/Shared%20Documents/Forms/AllItems.aspx?id=%2Fsites%2FNUVU%2DProyectos%2FShared%20Documents%2FP%2FPolic%C3%ADa%20Nacional%2F2025%2F%5BP0347%5D%20%2D%20PON%20%2D%20IAPOL%2DG%20%2D%20IA%20Generativa&amp;viewid=1dd39751%2D8a05%2D4043%2D9a9c%2D470bed0d9f3c" TargetMode="External"/><Relationship Id="rId71" Type="http://schemas.openxmlformats.org/officeDocument/2006/relationships/hyperlink" Target="mailto:nicolas.revollo@blend360.com" TargetMode="External"/><Relationship Id="rId234" Type="http://schemas.openxmlformats.org/officeDocument/2006/relationships/hyperlink" Target="mailto:juan.bernal@blend360.com" TargetMode="External"/><Relationship Id="rId637" Type="http://schemas.openxmlformats.org/officeDocument/2006/relationships/hyperlink" Target="../../../:w:/s/NUVU-Proyectos/IQA9oIY0obOTQ6_ALa_5n2xTAaWa9YjVIcun8GeiHrD14V0?e=eulf6c" TargetMode="External"/><Relationship Id="rId2" Type="http://schemas.openxmlformats.org/officeDocument/2006/relationships/hyperlink" Target="https://drive.google.com/file/d/1mvloO27Zl5S4tZmg28CArRirbKHnvIbh/view?usp=sharing" TargetMode="External"/><Relationship Id="rId29" Type="http://schemas.openxmlformats.org/officeDocument/2006/relationships/hyperlink" Target="https://drive.google.com/drive/folders/16SAZSrznaM2MTPbdi5HRcOIhH0scT5r8" TargetMode="External"/><Relationship Id="rId276" Type="http://schemas.openxmlformats.org/officeDocument/2006/relationships/hyperlink" Target="../../../:f:/r/sites/NUVU-Legal/Shared%20Documents/Gesti%C3%B3n%20Contractual/Contratos%20Clientes%20y%20Proveedores/Contratos%20Clientes/C/Coljuegos%20S.A?csf=1&amp;web=1&amp;e=dBSOh7" TargetMode="External"/><Relationship Id="rId441" Type="http://schemas.openxmlformats.org/officeDocument/2006/relationships/hyperlink" Target="../../NUVU-Proyectos/Shared%20Documents/Forms/AllItems.aspx?id=%2Fsites%2FNUVU%2DProyectos%2FShared%20Documents%2FU%2FUniversidad%20Nacional%2F1%2E%20%5BP0240%5D%20OMG%20Acuerdo%20Marco%2F1%2E%20Contrato%204%2F%5BP2059%5D%20Contrato%204%20de%202025%2F00%2E%20Administrativos&amp;viewid=1dd39751%2D8a05%2D4043%2D9a9c%2D470bed0d9f3c&amp;newTargetListUrl=%2Fsites%2FNUVU%2DProyectos%2FShared%20Documents&amp;viewpath=%2Fsites%2FNUVU%2DProyectos%2FShared%20Documents%2FForms%2FAllItems%2Easpx" TargetMode="External"/><Relationship Id="rId483" Type="http://schemas.openxmlformats.org/officeDocument/2006/relationships/hyperlink" Target="mailto:alejandra.gomez@blend360.com" TargetMode="External"/><Relationship Id="rId539" Type="http://schemas.openxmlformats.org/officeDocument/2006/relationships/hyperlink" Target="mailto:carlos.sierra@blend360.com" TargetMode="External"/><Relationship Id="rId40" Type="http://schemas.openxmlformats.org/officeDocument/2006/relationships/hyperlink" Target="mailto:juan.bernal@blend360.com" TargetMode="External"/><Relationship Id="rId136" Type="http://schemas.openxmlformats.org/officeDocument/2006/relationships/hyperlink" Target="mailto:nicolas.revollo@blend360.com" TargetMode="External"/><Relationship Id="rId178" Type="http://schemas.openxmlformats.org/officeDocument/2006/relationships/hyperlink" Target="mailto:nicolas.revollo@blend360.com" TargetMode="External"/><Relationship Id="rId301" Type="http://schemas.openxmlformats.org/officeDocument/2006/relationships/hyperlink" Target="mailto:alejandra.gomez@blend360.com" TargetMode="External"/><Relationship Id="rId343" Type="http://schemas.openxmlformats.org/officeDocument/2006/relationships/hyperlink" Target="https://drive.google.com/drive/u/0/folders/1MGBfD6Vh5uYbROYUHEcdv1tOwFqXfkxx" TargetMode="External"/><Relationship Id="rId550" Type="http://schemas.openxmlformats.org/officeDocument/2006/relationships/hyperlink" Target="mailto:carlos.sierra@blend360.com" TargetMode="External"/><Relationship Id="rId82" Type="http://schemas.openxmlformats.org/officeDocument/2006/relationships/hyperlink" Target="mailto:daniela.munoz@blend360.com" TargetMode="External"/><Relationship Id="rId203" Type="http://schemas.openxmlformats.org/officeDocument/2006/relationships/hyperlink" Target="mailto:karen.arandia@nuvu.cc" TargetMode="External"/><Relationship Id="rId385" Type="http://schemas.openxmlformats.org/officeDocument/2006/relationships/hyperlink" Target="../../../:f:/s/NUVU-Proyectos/EkdbNixGBDtHtvqh1caU3VoB1bCkVnQr2AWWtKe3WST_gg?e=yGIcRa" TargetMode="External"/><Relationship Id="rId592" Type="http://schemas.openxmlformats.org/officeDocument/2006/relationships/hyperlink" Target="../../../:b:/s/NUVU-Proyectos/IQBJ9LDhE-GyQ69Zz5XWUo3HAXOiDGhQFNA3CYtIWVIkrgc?e=N5Kk2i" TargetMode="External"/><Relationship Id="rId606" Type="http://schemas.openxmlformats.org/officeDocument/2006/relationships/hyperlink" Target="https://wgcp.sharepoint.com0/" TargetMode="External"/><Relationship Id="rId648" Type="http://schemas.openxmlformats.org/officeDocument/2006/relationships/hyperlink" Target="../../../:b:/s/NUVU-Proyectos/IQA3JVLMDMI8QqWre8V17GfNAaQBjuSBpiL0u7cVuHWuOTU?e=hzHYcE" TargetMode="External"/><Relationship Id="rId245" Type="http://schemas.openxmlformats.org/officeDocument/2006/relationships/hyperlink" Target="mailto:moises.rojas@blend360.com" TargetMode="External"/><Relationship Id="rId287" Type="http://schemas.openxmlformats.org/officeDocument/2006/relationships/hyperlink" Target="mailto:marcela.sanchez@blend360.com" TargetMode="External"/><Relationship Id="rId410" Type="http://schemas.openxmlformats.org/officeDocument/2006/relationships/hyperlink" Target="../../NUVU-Proyectos/Shared%20Documents/Forms/AllItems.aspx?id=%2Fsites%2FNUVU%2DProyectos%2FShared%20Documents%2FM%2FMintic%2F%5BP0316%5D%20MTI%20%2D%20Ciudades%20y%20territorios%20inteligentes%20Mintic%2F01%2E%20Documentaci%C3%B3n%20esencial%2F01%2E%20Habilitacion&amp;viewid=1dd39751%2D8a05%2D4043%2D9a9c%2D470bed0d9f3c" TargetMode="External"/><Relationship Id="rId452" Type="http://schemas.openxmlformats.org/officeDocument/2006/relationships/hyperlink" Target="../../../:f:/s/NUVU-Proyectos/EtrXyr-pswRGkuo69OJZmrcBhlhRprp0kzeYaY7HTr3hxw?e=qiRUjY" TargetMode="External"/><Relationship Id="rId494" Type="http://schemas.openxmlformats.org/officeDocument/2006/relationships/hyperlink" Target="../../NUVU-Proyectos/Shared%20Documents/Forms/AllItems.aspx?id=%2Fsites%2FNUVU%2DProyectos%2FShared%20Documents%2FU%2FUniversidad%20Nacional%2FOSES%202025%2F%5BP0353%5D%20Moodle%20Extension%20Cloud%2F00%2E%20Administrativos&amp;viewid=1dd39751%2D8a05%2D4043%2D9a9c%2D470bed0d9f3c&amp;newTargetListUrl=%2Fsites%2FNUVU%2DProyectos%2FShared%20Documents&amp;viewpath=%2Fsites%2FNUVU%2DProyectos%2FShared%20Documents%2FForms%2FAllItems%2Easpx" TargetMode="External"/><Relationship Id="rId508" Type="http://schemas.openxmlformats.org/officeDocument/2006/relationships/hyperlink" Target="../../../:f:/s/NUVU-Legal/IgCM47sl4OKZQZXdgdJHSLOSAQOpWLsfn53MGNu6FlV6t1I?e=vEFqPi" TargetMode="External"/><Relationship Id="rId105" Type="http://schemas.openxmlformats.org/officeDocument/2006/relationships/hyperlink" Target="mailto:moises.rojas@blend360.com" TargetMode="External"/><Relationship Id="rId147" Type="http://schemas.openxmlformats.org/officeDocument/2006/relationships/hyperlink" Target="../../NUVU-Comercial/Shared%20Documents/Forms/AllItems.aspx?id=%2Fsites%2FNUVU%2DComercial%2FShared%20Documents%2FU%2FUniversidad%20Nacional%20de%20Colombia%2F2025%2F01%2E%20Acuerdo%20Marco%2FAcuerdo%20y%20Adiciones%2FOSES%2FDivisi%C3%B3n%20Extensi%C3%B3n&amp;p=true&amp;CT=1745948383954&amp;OR=OWA%2DNT%2DMail&amp;CID=d414a553%2Dbfe1%2D99ba%2D35a5%2D68e74f7f74f3&amp;ga=1" TargetMode="External"/><Relationship Id="rId312" Type="http://schemas.openxmlformats.org/officeDocument/2006/relationships/hyperlink" Target="mailto:moises.rojas@blend360.com" TargetMode="External"/><Relationship Id="rId354" Type="http://schemas.openxmlformats.org/officeDocument/2006/relationships/hyperlink" Target="mailto:moises.rojas@blend360.com" TargetMode="External"/><Relationship Id="rId51" Type="http://schemas.openxmlformats.org/officeDocument/2006/relationships/hyperlink" Target="mailto:alejandra.gomez@blend360.com" TargetMode="External"/><Relationship Id="rId93" Type="http://schemas.openxmlformats.org/officeDocument/2006/relationships/hyperlink" Target="mailto:marcela.sanchez@blend360.com" TargetMode="External"/><Relationship Id="rId189" Type="http://schemas.openxmlformats.org/officeDocument/2006/relationships/hyperlink" Target="mailto:juan.bernal@blend360.com" TargetMode="External"/><Relationship Id="rId396" Type="http://schemas.openxmlformats.org/officeDocument/2006/relationships/hyperlink" Target="../../../:f:/s/NUVU-Proyectos/EqWGrwdJfitKpRcrg5ic8J8BWNv4ip3WQ5y9SQ44bBLhkg?e=peeMJC" TargetMode="External"/><Relationship Id="rId561" Type="http://schemas.openxmlformats.org/officeDocument/2006/relationships/hyperlink" Target="mailto:carlos.sierra@blend360.com" TargetMode="External"/><Relationship Id="rId617" Type="http://schemas.openxmlformats.org/officeDocument/2006/relationships/hyperlink" Target="../../../:b:/s/NUVU-Proyectos/IQCOjR1TlxgXRIKacgMieZNLAbFK799LmSHxwzdhvXRRlOs?e=ocf5tn" TargetMode="External"/><Relationship Id="rId214" Type="http://schemas.openxmlformats.org/officeDocument/2006/relationships/hyperlink" Target="mailto:nicolas.revollo@blend360.com" TargetMode="External"/><Relationship Id="rId256" Type="http://schemas.openxmlformats.org/officeDocument/2006/relationships/hyperlink" Target="https://drive.google.com/drive/folders/16SAZSrznaM2MTPbdi5HRcOIhH0scT5r8" TargetMode="External"/><Relationship Id="rId298" Type="http://schemas.openxmlformats.org/officeDocument/2006/relationships/hyperlink" Target="mailto:nicolas.revollo@blend360.com" TargetMode="External"/><Relationship Id="rId421" Type="http://schemas.openxmlformats.org/officeDocument/2006/relationships/hyperlink" Target="../../NUVU-Proyectos/Shared%20Documents/Forms/AllItems.aspx?id=%2Fsites%2FNUVU%2DProyectos%2FShared%20Documents%2FU%2FUniversidad%20Nacional%2FOSES%202025%2F%5BP0304%5D%20Editorial%20de%20UNAL%2F00%2E%20Administrativos&amp;viewid=1dd39751%2D8a05%2D4043%2D9a9c%2D470bed0d9f3c" TargetMode="External"/><Relationship Id="rId463" Type="http://schemas.openxmlformats.org/officeDocument/2006/relationships/hyperlink" Target="../../../:f:/s/NUVU-Proyectos/IgAlBq7t1DExSrNqA-tEmWQuAYfLtdHjX61VqZkAWo-nToU?e=QaHUSV" TargetMode="External"/><Relationship Id="rId519" Type="http://schemas.openxmlformats.org/officeDocument/2006/relationships/hyperlink" Target="../../../:f:/s/NUVU-Proyectos/En6SRDZPljZMm6Bf8FjWEYsBHMnGmGQW9m51yCMebHJKaw?e=BnddNS" TargetMode="External"/><Relationship Id="rId116" Type="http://schemas.openxmlformats.org/officeDocument/2006/relationships/hyperlink" Target="mailto:nicolas.revollo@blend360.com" TargetMode="External"/><Relationship Id="rId158" Type="http://schemas.openxmlformats.org/officeDocument/2006/relationships/hyperlink" Target="mailto:nicolas.revollo@blend360.com" TargetMode="External"/><Relationship Id="rId323" Type="http://schemas.openxmlformats.org/officeDocument/2006/relationships/hyperlink" Target="mailto:ciliana.capera@blend360.com" TargetMode="External"/><Relationship Id="rId530" Type="http://schemas.openxmlformats.org/officeDocument/2006/relationships/hyperlink" Target="mailto:carlos.sierra@blend360.com" TargetMode="External"/><Relationship Id="rId20" Type="http://schemas.openxmlformats.org/officeDocument/2006/relationships/hyperlink" Target="https://drive.google.com/drive/u/0/folders/1MGBfD6Vh5uYbROYUHEcdv1tOwFqXfkxx" TargetMode="External"/><Relationship Id="rId62" Type="http://schemas.openxmlformats.org/officeDocument/2006/relationships/hyperlink" Target="mailto:alejandra.gomez@blend360.com" TargetMode="External"/><Relationship Id="rId365" Type="http://schemas.openxmlformats.org/officeDocument/2006/relationships/hyperlink" Target="mailto:karen.arandia@nuvu.cc" TargetMode="External"/><Relationship Id="rId572" Type="http://schemas.openxmlformats.org/officeDocument/2006/relationships/hyperlink" Target="https://drive.google.com/file/d/1pVuO_-me2aub8btCyX7ux5SBrt_2GLOJ/view?usp=drive_link" TargetMode="External"/><Relationship Id="rId628" Type="http://schemas.openxmlformats.org/officeDocument/2006/relationships/hyperlink" Target="https://wgcp.sharepoint.com0/" TargetMode="External"/><Relationship Id="rId225" Type="http://schemas.openxmlformats.org/officeDocument/2006/relationships/hyperlink" Target="mailto:alejandra.gomez@blend360.com" TargetMode="External"/><Relationship Id="rId267" Type="http://schemas.openxmlformats.org/officeDocument/2006/relationships/hyperlink" Target="https://drive.google.com/drive/u/0/folders/1DR7V2szJKFTDWlCG49lgFe_CJ2NqeMbF" TargetMode="External"/><Relationship Id="rId432" Type="http://schemas.openxmlformats.org/officeDocument/2006/relationships/hyperlink" Target="../../NUVU-Proyectos/Shared%20Documents/Forms/AllItems.aspx?id=%2Fsites%2FNUVU%2DProyectos%2FShared%20Documents%2FU%2FUniversidad%20Nacional%2FOSES%202025%2F%5BP0350%5D%20Facultad%20Derecho%20Concurso%20de%20M%C3%A9ritos%2F00%2E%20Administrativos&amp;newTargetListUrl=%2Fsites%2FNUVU%2DProyectos%2FShared%20Documents&amp;viewpath=%2Fsites%2FNUVU%2DProyectos%2FShared%20Documents%2FForms%2FAllItems%2Easpx" TargetMode="External"/><Relationship Id="rId474" Type="http://schemas.openxmlformats.org/officeDocument/2006/relationships/hyperlink" Target="../../NUVU-Comercial/Shared%20Documents/Forms/AllItems.aspx?id=%2Fsites%2FNUVU%2DComercial%2FShared%20Documents%2FI%2FICFES%20%2D%20Instituto%20Colombiano%20para%20la%20Evaluaci%C3%B3n%20de%20la%20Educaci%C3%B3n%2F2025%2FRenovaci%C3%B3n%20Datalake%202025%20Fase%202%2FArtefactos%20finales%20icfes%20Datalake%20Nov%202025%20%2D%20Ene%202026&amp;viewid=1dd39751%2D8a05%2D4043%2D9a9c%2D470bed0d9f3c&amp;newTargetListUrl=%2Fsites%2FNUVU%2DComercial%2FShared%20Documents&amp;viewpath=%2Fsites%2FNUVU%2DComercial%2FShared%20Documents%2FForms%2FAllItems%2Easpx" TargetMode="External"/><Relationship Id="rId127" Type="http://schemas.openxmlformats.org/officeDocument/2006/relationships/hyperlink" Target="https://drive.google.com/drive/folders/16SAZSrznaM2MTPbdi5HRcOIhH0scT5r8" TargetMode="External"/><Relationship Id="rId31" Type="http://schemas.openxmlformats.org/officeDocument/2006/relationships/hyperlink" Target="https://drive.google.com/drive/folders/1KlNKvfVvAwAmf04uh0MagbKrQz1pxNyO" TargetMode="External"/><Relationship Id="rId73" Type="http://schemas.openxmlformats.org/officeDocument/2006/relationships/hyperlink" Target="mailto:nicolas.revollo@blend360.com" TargetMode="External"/><Relationship Id="rId169" Type="http://schemas.openxmlformats.org/officeDocument/2006/relationships/hyperlink" Target="https://drive.google.com/drive/u/0/folders/1e3CUiy4QQJNkWOoWgZVjMDvkbWM6_9Do" TargetMode="External"/><Relationship Id="rId334" Type="http://schemas.openxmlformats.org/officeDocument/2006/relationships/hyperlink" Target="mailto:ciliana.capera@blend360.com" TargetMode="External"/><Relationship Id="rId376" Type="http://schemas.openxmlformats.org/officeDocument/2006/relationships/hyperlink" Target="../../../:f:/s/NUVU-Proyectos/Ei9M587w-jdMtM8LCqlbNI0BCcmVLPz51nTL0AlciKRu-A?e=5QpWoj" TargetMode="External"/><Relationship Id="rId541" Type="http://schemas.openxmlformats.org/officeDocument/2006/relationships/hyperlink" Target="mailto:carlos.sierra@blend360.com" TargetMode="External"/><Relationship Id="rId583" Type="http://schemas.openxmlformats.org/officeDocument/2006/relationships/hyperlink" Target="../../../:f:/s/NUVU-Proyectos/EoCgS_u3-85FjOn2YqyVS0cB8sopM0KfNugvwFhaYz1e8g?e=IK06Yf" TargetMode="External"/><Relationship Id="rId639" Type="http://schemas.openxmlformats.org/officeDocument/2006/relationships/hyperlink" Target="../../../:b:/s/NUVU-Proyectos/IQB2X9COMsg3SZBdZJAdyVqoAd9jLHnp7ipZV-a-PGd6ODI?e=LZZ6P2" TargetMode="External"/><Relationship Id="rId4" Type="http://schemas.openxmlformats.org/officeDocument/2006/relationships/hyperlink" Target="../../../:f:/s/NUVU-Proyectos/Evl5Aof2Q4VFhw7kufrE9YAB4mwM5b4eQnJJayzfcyMh4A?e=eEPhhg" TargetMode="External"/><Relationship Id="rId180" Type="http://schemas.openxmlformats.org/officeDocument/2006/relationships/hyperlink" Target="https://drive.google.com/file/d/16eArFD4NeqV0sWlacWFskdCqM5_jPXKC/view?usp=drive_link" TargetMode="External"/><Relationship Id="rId236" Type="http://schemas.openxmlformats.org/officeDocument/2006/relationships/hyperlink" Target="mailto:juan.bernal@blend360.com" TargetMode="External"/><Relationship Id="rId278" Type="http://schemas.openxmlformats.org/officeDocument/2006/relationships/hyperlink" Target="mailto:nicolas.revollo@blend360.com" TargetMode="External"/><Relationship Id="rId401" Type="http://schemas.openxmlformats.org/officeDocument/2006/relationships/hyperlink" Target="../../../:f:/s/NUVU-Proyectos/EiWr1Td-njlKokzAyHhTpqMBFxRhCvD9tWugCvDEmAXnng?e=YYmWWz" TargetMode="External"/><Relationship Id="rId443" Type="http://schemas.openxmlformats.org/officeDocument/2006/relationships/hyperlink" Target="../../NUVU-Proyectos/Shared%20Documents/Forms/AllItems.aspx?id=%2Fsites%2FNUVU%2DProyectos%2FShared%20Documents%2FU%2FUniversidad%20Nacional%2FOSES%202025%2F%5BP0373%5D%20UNA%20OSE%203%20Secretar%C3%ADa%20General%2F00%2E%20Administrativos&amp;viewid=1dd39751%2D8a05%2D4043%2D9a9c%2D470bed0d9f3c&amp;newTargetListUrl=%2Fsites%2FNUVU%2DProyectos%2FShared%20Documents&amp;viewpath=%2Fsites%2FNUVU%2DProyectos%2FShared%20Documents%2FForms%2FAllItems%2Easpx" TargetMode="External"/><Relationship Id="rId650" Type="http://schemas.openxmlformats.org/officeDocument/2006/relationships/hyperlink" Target="https://wgcp.sharepoint.com0/" TargetMode="External"/><Relationship Id="rId303" Type="http://schemas.openxmlformats.org/officeDocument/2006/relationships/hyperlink" Target="https://drive.google.com/drive/folders/1X4iELvATSIXxv9fAYa9XJVZ8gAnjLE8l" TargetMode="External"/><Relationship Id="rId485" Type="http://schemas.openxmlformats.org/officeDocument/2006/relationships/hyperlink" Target="../../NUVU-Proyectos/Shared%20Documents/Forms/AllItems.aspx?id=%2Fsites%2FNUVU%2DProyectos%2FShared%20Documents%2FM%2FMetro%20de%20Medell%C3%ADn%2F%5BP0388%5D%20Servicio%20de%20Dise%C3%B1o%20e%20Implementaci%C3%B3n%20de%20Inteligencia%20de%20Negocios%20y%20Anal%C3%ADtica%2F01%2E%20Documentaci%C3%B3n%20Esencial&amp;viewid=1dd39751%2D8a05%2D4043%2D9a9c%2D470bed0d9f3c" TargetMode="External"/><Relationship Id="rId42" Type="http://schemas.openxmlformats.org/officeDocument/2006/relationships/hyperlink" Target="mailto:alejandra.gomez@blend360.com" TargetMode="External"/><Relationship Id="rId84" Type="http://schemas.openxmlformats.org/officeDocument/2006/relationships/hyperlink" Target="mailto:juan.bernal@blend360.com" TargetMode="External"/><Relationship Id="rId138" Type="http://schemas.openxmlformats.org/officeDocument/2006/relationships/hyperlink" Target="mailto:alejandra.gomez@blend360.com" TargetMode="External"/><Relationship Id="rId345" Type="http://schemas.openxmlformats.org/officeDocument/2006/relationships/hyperlink" Target="mailto:nicolas.revollo@blend360.com" TargetMode="External"/><Relationship Id="rId387" Type="http://schemas.openxmlformats.org/officeDocument/2006/relationships/hyperlink" Target="../../../:f:/s/NUVU-Proyectos/EkdbNixGBDtHtvqh1caU3VoB1bCkVnQr2AWWtKe3WST_gg?e=yGIcRa" TargetMode="External"/><Relationship Id="rId510" Type="http://schemas.openxmlformats.org/officeDocument/2006/relationships/hyperlink" Target="mailto:alejandra.gomez@blend360.com" TargetMode="External"/><Relationship Id="rId552" Type="http://schemas.openxmlformats.org/officeDocument/2006/relationships/hyperlink" Target="mailto:carlos.sierra@blend360.com" TargetMode="External"/><Relationship Id="rId594" Type="http://schemas.openxmlformats.org/officeDocument/2006/relationships/hyperlink" Target="../../../:w:/s/NUVU-Proyectos/IQD8s5ktUNikRLk4GMo49Km0AekiRfos7HYCOsyepuW6dgA?e=RFtJov" TargetMode="External"/><Relationship Id="rId608" Type="http://schemas.openxmlformats.org/officeDocument/2006/relationships/hyperlink" Target="../../../:b:/s/NUVU-Proyectos/IQAS_CUjms1cU1B-YPPgYqMBAcu3G3Wrw6gNMmM_M5Y27a0?e=O0w4aL" TargetMode="External"/><Relationship Id="rId191" Type="http://schemas.openxmlformats.org/officeDocument/2006/relationships/hyperlink" Target="mailto:moises.rojas@blend360.com" TargetMode="External"/><Relationship Id="rId205" Type="http://schemas.openxmlformats.org/officeDocument/2006/relationships/hyperlink" Target="mailto:alejandra.gomez@blend360.com" TargetMode="External"/><Relationship Id="rId247" Type="http://schemas.openxmlformats.org/officeDocument/2006/relationships/hyperlink" Target="mailto:nicolas.revollo@blend360.com" TargetMode="External"/><Relationship Id="rId412" Type="http://schemas.openxmlformats.org/officeDocument/2006/relationships/hyperlink" Target="../../NUVU-Proyectos/Shared%20Documents/Forms/AllItems.aspx?id=%2Fsites%2FNUVU%2DProyectos%2FShared%20Documents%2FM%2FMintic%2F%5BP0309%5D%20MTI%20%2D%20Microcentros%20AI%2F01%2E%20Documentaci%C3%B3n%20Esencial&amp;viewid=1dd39751%2D8a05%2D4043%2D9a9c%2D470bed0d9f3c" TargetMode="External"/><Relationship Id="rId107" Type="http://schemas.openxmlformats.org/officeDocument/2006/relationships/hyperlink" Target="mailto:marcela.sanchez@blend360.com" TargetMode="External"/><Relationship Id="rId289" Type="http://schemas.openxmlformats.org/officeDocument/2006/relationships/hyperlink" Target="mailto:juan.bernal@blend360.com" TargetMode="External"/><Relationship Id="rId454" Type="http://schemas.openxmlformats.org/officeDocument/2006/relationships/hyperlink" Target="../../../:f:/s/NUVU-Proyectos/EtrXyr-pswRGkuo69OJZmrcBhlhRprp0kzeYaY7HTr3hxw?e=qiRUjY" TargetMode="External"/><Relationship Id="rId496" Type="http://schemas.openxmlformats.org/officeDocument/2006/relationships/hyperlink" Target="../../../:f:/s/NUVU-Comercial/IgAZcoHJVCWgQbsHaxwFVBU_AeLRtKCDpDAiMuGkcStHcPE?e=UnAK1p" TargetMode="External"/><Relationship Id="rId11" Type="http://schemas.openxmlformats.org/officeDocument/2006/relationships/hyperlink" Target="https://drive.google.com/drive/folders/1KbVHP5h-x0K6AaajTwoXU0GLl8r1YQ95" TargetMode="External"/><Relationship Id="rId53" Type="http://schemas.openxmlformats.org/officeDocument/2006/relationships/hyperlink" Target="mailto:alejandra.gomez@blend360.com" TargetMode="External"/><Relationship Id="rId149" Type="http://schemas.openxmlformats.org/officeDocument/2006/relationships/hyperlink" Target="mailto:nicolas.revollo@blend360.com" TargetMode="External"/><Relationship Id="rId314" Type="http://schemas.openxmlformats.org/officeDocument/2006/relationships/hyperlink" Target="mailto:ciliana.capera@blend360.com" TargetMode="External"/><Relationship Id="rId356" Type="http://schemas.openxmlformats.org/officeDocument/2006/relationships/hyperlink" Target="mailto:alejandra.gomez@blend360.com" TargetMode="External"/><Relationship Id="rId398" Type="http://schemas.openxmlformats.org/officeDocument/2006/relationships/hyperlink" Target="../../../:f:/s/NUVU-Proyectos/EiCnNFJ67bROuHakFCO5me4BgfAJNoFp2flEdCRaL8qwEA?e=DXfqTj" TargetMode="External"/><Relationship Id="rId521" Type="http://schemas.openxmlformats.org/officeDocument/2006/relationships/hyperlink" Target="mailto:juan.zambrano@blend360.com" TargetMode="External"/><Relationship Id="rId563" Type="http://schemas.openxmlformats.org/officeDocument/2006/relationships/hyperlink" Target="../../../:f:/s/NUVU-Proyectos/EiCnNFJ67bROuHakFCO5me4BgfAJNoFp2flEdCRaL8qwEA?e=DXfqTj" TargetMode="External"/><Relationship Id="rId619" Type="http://schemas.openxmlformats.org/officeDocument/2006/relationships/hyperlink" Target="https://wgcp.sharepoint.com0/" TargetMode="External"/><Relationship Id="rId95" Type="http://schemas.openxmlformats.org/officeDocument/2006/relationships/hyperlink" Target="mailto:daniela.munoz@blend360.com" TargetMode="External"/><Relationship Id="rId160" Type="http://schemas.openxmlformats.org/officeDocument/2006/relationships/hyperlink" Target="mailto:nicolas.revollo@blend360.com" TargetMode="External"/><Relationship Id="rId216" Type="http://schemas.openxmlformats.org/officeDocument/2006/relationships/hyperlink" Target="mailto:nicolas.revollo@blend360.com" TargetMode="External"/><Relationship Id="rId423" Type="http://schemas.openxmlformats.org/officeDocument/2006/relationships/hyperlink" Target="../../NUVU-Proyectos/Shared%20Documents/Forms/AllItems.aspx?id=%2Fsites%2FNUVU%2DProyectos%2FShared%20Documents%2FU%2FUniversidad%20Nacional%2FOSES%202025%2F%5BP0298%5D%20Fortinet%2F00%2E%20Administrativos&amp;viewid=1dd39751%2D8a05%2D4043%2D9a9c%2D470bed0d9f3c" TargetMode="External"/><Relationship Id="rId258" Type="http://schemas.openxmlformats.org/officeDocument/2006/relationships/hyperlink" Target="https://drive.google.com/drive/folders/16SAZSrznaM2MTPbdi5HRcOIhH0scT5r8" TargetMode="External"/><Relationship Id="rId465" Type="http://schemas.openxmlformats.org/officeDocument/2006/relationships/hyperlink" Target="../../NUVU-Proyectos/Shared%20Documents/Forms/AllItems.aspx?id=%2Fsites%2FNUVU%2DProyectos%2FShared%20Documents%2FU%2FUniversidad%20Nacional%2FOSES%202025%2F%5BP0294%5D%20Regal%C3%ADas%20Sike%2F00%2E%20Administrativos&amp;newTargetListUrl=%2Fsites%2FNUVU%2DProyectos%2FShared%20Documents&amp;viewpath=%2Fsites%2FNUVU%2DProyectos%2FShared%20Documents%2FForms%2FAllItems%2Easpx" TargetMode="External"/><Relationship Id="rId630" Type="http://schemas.openxmlformats.org/officeDocument/2006/relationships/hyperlink" Target="../../../:b:/s/NUVU-Proyectos/IQBRYLY7A8zrR6KUT32FpM4jAUwGiw9TXoy31iNaQmrNwug?e=x6Ay7r" TargetMode="External"/><Relationship Id="rId22" Type="http://schemas.openxmlformats.org/officeDocument/2006/relationships/hyperlink" Target="mailto:andres.barrantes@nuvu.cc" TargetMode="External"/><Relationship Id="rId64" Type="http://schemas.openxmlformats.org/officeDocument/2006/relationships/hyperlink" Target="mailto:daniela.munoz@blend360.com" TargetMode="External"/><Relationship Id="rId118" Type="http://schemas.openxmlformats.org/officeDocument/2006/relationships/hyperlink" Target="mailto:samuel.escobar@blend360.com" TargetMode="External"/><Relationship Id="rId325" Type="http://schemas.openxmlformats.org/officeDocument/2006/relationships/hyperlink" Target="mailto:moises.rojas@blend360.com" TargetMode="External"/><Relationship Id="rId367" Type="http://schemas.openxmlformats.org/officeDocument/2006/relationships/hyperlink" Target="../../../:f:/s/NUVU-Proyectos/EqBuSQ7YCJxGmO8MUC_HyUkBFU8LQa4vio2ub9bKkqAtxQ?e=9Dht22" TargetMode="External"/><Relationship Id="rId532" Type="http://schemas.openxmlformats.org/officeDocument/2006/relationships/hyperlink" Target="mailto:carlos.sierra@blend360.com" TargetMode="External"/><Relationship Id="rId574" Type="http://schemas.openxmlformats.org/officeDocument/2006/relationships/hyperlink" Target="mailto:alejandra.gomez@blend360.com" TargetMode="External"/><Relationship Id="rId171" Type="http://schemas.openxmlformats.org/officeDocument/2006/relationships/hyperlink" Target="https://drive.google.com/drive/folders/1X4iELvATSIXxv9fAYa9XJVZ8gAnjLE8l" TargetMode="External"/><Relationship Id="rId227" Type="http://schemas.openxmlformats.org/officeDocument/2006/relationships/hyperlink" Target="mailto:alejandra.gomez@blend360.com" TargetMode="External"/><Relationship Id="rId269" Type="http://schemas.openxmlformats.org/officeDocument/2006/relationships/hyperlink" Target="mailto:nicolas.revollo@blend360.com" TargetMode="External"/><Relationship Id="rId434" Type="http://schemas.openxmlformats.org/officeDocument/2006/relationships/hyperlink" Target="../../NUVU-Proyectos/Shared%20Documents/Forms/AllItems.aspx?id=%2Fsites%2FNUVU%2DProyectos%2FShared%20Documents%2FU%2FUniversidad%20Nacional%2F1%2E%20%5BP0240%5D%20OMG%20Acuerdo%20Marco%2F1%2E%20Contrato%204%2F%5BP2059%5D%20Contrato%204%20de%202025%2F00%2E%20Administrativos&amp;viewid=1dd39751%2D8a05%2D4043%2D9a9c%2D470bed0d9f3c&amp;newTargetListUrl=%2Fsites%2FNUVU%2DProyectos%2FShared%20Documents&amp;viewpath=%2Fsites%2FNUVU%2DProyectos%2FShared%20Documents%2FForms%2FAllItems%2Easpx" TargetMode="External"/><Relationship Id="rId476" Type="http://schemas.openxmlformats.org/officeDocument/2006/relationships/hyperlink" Target="../../NUVU-Comercial/Shared%20Documents/Forms/AllItems.aspx?id=%2Fsites%2FNUVU%2DComercial%2FShared%20Documents%2FI%2FICFES%20%2D%20Instituto%20Colombiano%20para%20la%20Evaluaci%C3%B3n%20de%20la%20Educaci%C3%B3n%2F2025%2FRenovaci%C3%B3n%20Datalake%202025%20Fase%202%2FArtefactos%20finales%20icfes%20Datalake%20Nov%202025%20%2D%20Ene%202026&amp;viewid=1dd39751%2D8a05%2D4043%2D9a9c%2D470bed0d9f3c&amp;newTargetListUrl=%2Fsites%2FNUVU%2DComercial%2FShared%20Documents&amp;viewpath=%2Fsites%2FNUVU%2DComercial%2FShared%20Documents%2FForms%2FAllItems%2Easpx" TargetMode="External"/><Relationship Id="rId641" Type="http://schemas.openxmlformats.org/officeDocument/2006/relationships/hyperlink" Target="../../../:b:/s/NUVU-Proyectos/IQCCwrTkGksXSbLTxJjBNb9vAemEaQrJYCnQyQNzVjebRPM?e=dNTXwP" TargetMode="External"/><Relationship Id="rId33" Type="http://schemas.openxmlformats.org/officeDocument/2006/relationships/hyperlink" Target="https://drive.google.com/drive/folders/1Qkin2knSCnP-d1UJtDU-JRa9XMNgBM5f" TargetMode="External"/><Relationship Id="rId129" Type="http://schemas.openxmlformats.org/officeDocument/2006/relationships/hyperlink" Target="mailto:marcela.sanchez@blend360.com" TargetMode="External"/><Relationship Id="rId280" Type="http://schemas.openxmlformats.org/officeDocument/2006/relationships/hyperlink" Target="../../NUVU-Proyectos/Shared%20Documents/Forms/AllItems.aspx?id=%2Fsites%2FNUVU%2DProyectos%2FShared%20Documents%2FU%2FUniversidad%20Nacional&amp;sortField=LinkFilename&amp;isAscending=true&amp;viewid=1dd39751%2D8a05%2D4043%2D9a9c%2D470bed0d9f3c&amp;CT=1747430562325&amp;OR=OWA%2DNT%2DMail&amp;CID=e9f8afa4%2Ddaa0%2Daa3d%2D3c26%2Daceec7c7ca03" TargetMode="External"/><Relationship Id="rId336" Type="http://schemas.openxmlformats.org/officeDocument/2006/relationships/hyperlink" Target="mailto:daniela.munoz@blend360.com" TargetMode="External"/><Relationship Id="rId501" Type="http://schemas.openxmlformats.org/officeDocument/2006/relationships/hyperlink" Target="../../../:f:/s/NUVU-Proyectos/IgBOWFrTqLDARrme81PpHSdVAXDmWoeZHaZ8NMomRp30VBc?e=JaYCEO" TargetMode="External"/><Relationship Id="rId543" Type="http://schemas.openxmlformats.org/officeDocument/2006/relationships/hyperlink" Target="mailto:carlos.sierra@blend360.com" TargetMode="External"/><Relationship Id="rId75" Type="http://schemas.openxmlformats.org/officeDocument/2006/relationships/hyperlink" Target="mailto:nicolas.revollo@blend360.com" TargetMode="External"/><Relationship Id="rId140" Type="http://schemas.openxmlformats.org/officeDocument/2006/relationships/hyperlink" Target="../../NUVU-Comercial/Shared%20Documents/Forms/AllItems.aspx?id=%2Fsites%2FNUVU%2DComercial%2FShared%20Documents%2FU%2FUniversidad%20Nacional%20de%20Colombia%2F2025%2F01%2E%20Acuerdo%20Marco%2FAcuerdo%20y%20Adiciones%2FOSES%2FDivisi%C3%B3n%20Extensi%C3%B3n&amp;p=true&amp;CT=1745948383954&amp;OR=OWA%2DNT%2DMail&amp;CID=d414a553%2Dbfe1%2D99ba%2D35a5%2D68e74f7f74f3&amp;ga=1" TargetMode="External"/><Relationship Id="rId182" Type="http://schemas.openxmlformats.org/officeDocument/2006/relationships/hyperlink" Target="https://drive.google.com/drive/folders/16SAZSrznaM2MTPbdi5HRcOIhH0scT5r8" TargetMode="External"/><Relationship Id="rId378" Type="http://schemas.openxmlformats.org/officeDocument/2006/relationships/hyperlink" Target="../../../:f:/s/NUVU-Proyectos/EiJdzSA4HltFqJ8p9tP-M5EB3RGFsxF59076xJ188xTIGQ?e=fvfpam" TargetMode="External"/><Relationship Id="rId403" Type="http://schemas.openxmlformats.org/officeDocument/2006/relationships/hyperlink" Target="../../../:f:/s/NUVU-Proyectos/Eld_-ym1ADVBmjaU9T-74OcBKJvKGzGbqoWZx7agDo61qQ?e=fBCVM1" TargetMode="External"/><Relationship Id="rId585" Type="http://schemas.openxmlformats.org/officeDocument/2006/relationships/hyperlink" Target="../../../:f:/s/NUVU-Proyectos/IgAlBq7t1DExSrNqA-tEmWQuAYfLtdHjX61VqZkAWo-nToU?e=QaHUSV" TargetMode="External"/><Relationship Id="rId6" Type="http://schemas.openxmlformats.org/officeDocument/2006/relationships/hyperlink" Target="https://drive.google.com/file/d/11FpCq5CTW1Rd3YjN3GeYqvC5CWafL6iI/view?usp=sharing" TargetMode="External"/><Relationship Id="rId238" Type="http://schemas.openxmlformats.org/officeDocument/2006/relationships/hyperlink" Target="mailto:ciliana.capera@blend360.com" TargetMode="External"/><Relationship Id="rId445" Type="http://schemas.openxmlformats.org/officeDocument/2006/relationships/hyperlink" Target="../../NUVU-Proyectos/Shared%20Documents/Forms/AllItems.aspx?id=%2Fsites%2FNUVU%2DProyectos%2FShared%20Documents%2FU%2FUniversidad%20Nacional%2FOSES%202025%2F%5BP0353%5D%20Moodle%20Extension%20Cloud%2F00%2E%20Administrativos&amp;viewid=1dd39751%2D8a05%2D4043%2D9a9c%2D470bed0d9f3c&amp;newTargetListUrl=%2Fsites%2FNUVU%2DProyectos%2FShared%20Documents&amp;viewpath=%2Fsites%2FNUVU%2DProyectos%2FShared%20Documents%2FForms%2FAllItems%2Easpx" TargetMode="External"/><Relationship Id="rId487" Type="http://schemas.openxmlformats.org/officeDocument/2006/relationships/hyperlink" Target="../../NUVU-Proyectos/Shared%20Documents/Forms/AllItems.aspx?id=%2Fsites%2FNUVU%2DProyectos%2FShared%20Documents%2FM%2FMetro%20de%20Medell%C3%ADn%2F%5BP0388%5D%20Servicio%20de%20Dise%C3%B1o%20e%20Implementaci%C3%B3n%20de%20Inteligencia%20de%20Negocios%20y%20Anal%C3%ADtica&amp;viewid=1dd39751%2D8a05%2D4043%2D9a9c%2D470bed0d9f3c" TargetMode="External"/><Relationship Id="rId610" Type="http://schemas.openxmlformats.org/officeDocument/2006/relationships/hyperlink" Target="../../../:b:/s/NUVU-Proyectos/IQAS_CUjms1cU1B-YPPgYqMBAcu3G3Wrw6gNMmM_M5Y27a0?e=O0w4aL" TargetMode="External"/><Relationship Id="rId652" Type="http://schemas.openxmlformats.org/officeDocument/2006/relationships/hyperlink" Target="../../../:b:/s/NUVU-Proyectos/IQDx4_BylubzSreMf7yLSpL9AbO7xyrSxftRahs4p-Rncnw?e=CJwvMp" TargetMode="External"/><Relationship Id="rId291" Type="http://schemas.openxmlformats.org/officeDocument/2006/relationships/hyperlink" Target="mailto:marcela.sanchez@blend360.com" TargetMode="External"/><Relationship Id="rId305" Type="http://schemas.openxmlformats.org/officeDocument/2006/relationships/hyperlink" Target="mailto:alejandra.gomez@blend360.com" TargetMode="External"/><Relationship Id="rId347" Type="http://schemas.openxmlformats.org/officeDocument/2006/relationships/hyperlink" Target="mailto:carolina.aleman@blend360.com" TargetMode="External"/><Relationship Id="rId512" Type="http://schemas.openxmlformats.org/officeDocument/2006/relationships/hyperlink" Target="../../NUVU-Proyectos/Shared%20Documents/Forms/AllItems.aspx?viewid=1dd39751%2D8a05%2D4043%2D9a9c%2D470bed0d9f3c&amp;ga=1&amp;id=%2Fsites%2FNUVU%2DProyectos%2FShared%20Documents%2FF%2FFiduagraria%2FQuicksight%2F%5BP2639%5D%20%2D%20Quicksight%20Operacion%202026%2F01%2E%20Documentaci%C3%B3n%20Esencial%2F01%2E%20Contrato%2FOTRO%20SI%204%20HIGH%20TECH%20%281%29%2Epdf&amp;parent=%2Fsites%2FNUVU%2DProyectos%2FShared%20Documents%2FF%2FFiduagraria%2FQuicksight%2F%5BP2639%5D%20%2D%20Quicksight%20Operacion%202026%2F01%2E%20Documentaci%C3%B3n%20Esencial%2F01%2E%20Contrato" TargetMode="External"/><Relationship Id="rId44" Type="http://schemas.openxmlformats.org/officeDocument/2006/relationships/hyperlink" Target="mailto:alejandra.gomez@blend360.com" TargetMode="External"/><Relationship Id="rId86" Type="http://schemas.openxmlformats.org/officeDocument/2006/relationships/hyperlink" Target="mailto:karen.arandia@nuvu.cc" TargetMode="External"/><Relationship Id="rId151" Type="http://schemas.openxmlformats.org/officeDocument/2006/relationships/hyperlink" Target="../../../:f:/r/sites/NUVU-Legal/Shared%20Documents/Gesti%C3%B3n%20Contractual/Contratos%20Clientes%20y%20Proveedores/Contratos%20Clientes/C/Coljuegos%20S.A?csf=1&amp;web=1&amp;e=dBSOh7" TargetMode="External"/><Relationship Id="rId389" Type="http://schemas.openxmlformats.org/officeDocument/2006/relationships/hyperlink" Target="../../../:f:/s/NUVU-Proyectos/EkUx4UXQQF9Gmbgqp99OYCEBqiVIYCBOlTO90Rroq8ZAEA?e=m57kbk" TargetMode="External"/><Relationship Id="rId554" Type="http://schemas.openxmlformats.org/officeDocument/2006/relationships/hyperlink" Target="mailto:carlos.sierra@blend360.com" TargetMode="External"/><Relationship Id="rId596" Type="http://schemas.openxmlformats.org/officeDocument/2006/relationships/hyperlink" Target="../../../:b:/s/NUVU-Proyectos/IQCI_NNNJnl6WzqfR1p8Kf75AYbuJjwWO9UJL5j52Ooq2Xg?e=3usYKq" TargetMode="External"/><Relationship Id="rId193" Type="http://schemas.openxmlformats.org/officeDocument/2006/relationships/hyperlink" Target="mailto:alejandra.gomez@blend360.com" TargetMode="External"/><Relationship Id="rId207" Type="http://schemas.openxmlformats.org/officeDocument/2006/relationships/hyperlink" Target="https://drive.google.com/drive/folders/1Qkin2knSCnP-d1UJtDU-JRa9XMNgBM5f" TargetMode="External"/><Relationship Id="rId249" Type="http://schemas.openxmlformats.org/officeDocument/2006/relationships/hyperlink" Target="mailto:marcela.sanchez@blend360.com" TargetMode="External"/><Relationship Id="rId414" Type="http://schemas.openxmlformats.org/officeDocument/2006/relationships/hyperlink" Target="../../NUVU-Proyectos/Shared%20Documents/Forms/AllItems.aspx?id=%2Fsites%2FNUVU%2DProyectos%2FShared%20Documents%2FC%2FCAT%20%2D%20Catastro%20Distrital%2F%5BP2124%5D%20CAT%20%2D%20Agente%20Cognitivo%20e%20Infraestructura%20AWS%2F01%2E%20Documentaci%C3%B3n%20esencial%2F01%20%2D%20Habilitadores&amp;viewid=1dd39751%2D8a05%2D4043%2D9a9c%2D470bed0d9f3c" TargetMode="External"/><Relationship Id="rId456" Type="http://schemas.openxmlformats.org/officeDocument/2006/relationships/hyperlink" Target="mailto:karen.arandia@nuvu.cc" TargetMode="External"/><Relationship Id="rId498" Type="http://schemas.openxmlformats.org/officeDocument/2006/relationships/hyperlink" Target="../../../:f:/s/NUVU-Comercial/IgBzrlFZBtk_R715Vsc9VWqhARFhnggBfmCZXynw-G923UU?e=JaElOq" TargetMode="External"/><Relationship Id="rId621" Type="http://schemas.openxmlformats.org/officeDocument/2006/relationships/hyperlink" Target="https://wgcp.sharepoint.com0/" TargetMode="External"/><Relationship Id="rId13" Type="http://schemas.openxmlformats.org/officeDocument/2006/relationships/hyperlink" Target="https://drive.google.com/drive/u/0/folders/1e3CUiy4QQJNkWOoWgZVjMDvkbWM6_9Do" TargetMode="External"/><Relationship Id="rId109" Type="http://schemas.openxmlformats.org/officeDocument/2006/relationships/hyperlink" Target="mailto:moises.rojas@blend360.com" TargetMode="External"/><Relationship Id="rId260" Type="http://schemas.openxmlformats.org/officeDocument/2006/relationships/hyperlink" Target="https://drive.google.com/drive/folders/16SAZSrznaM2MTPbdi5HRcOIhH0scT5r8" TargetMode="External"/><Relationship Id="rId316" Type="http://schemas.openxmlformats.org/officeDocument/2006/relationships/hyperlink" Target="mailto:juan.bernal@blend360.com" TargetMode="External"/><Relationship Id="rId523" Type="http://schemas.openxmlformats.org/officeDocument/2006/relationships/hyperlink" Target="mailto:juan.zambrano@blend360.com" TargetMode="External"/><Relationship Id="rId55" Type="http://schemas.openxmlformats.org/officeDocument/2006/relationships/hyperlink" Target="mailto:alejandra.gomez@blend360.com" TargetMode="External"/><Relationship Id="rId97" Type="http://schemas.openxmlformats.org/officeDocument/2006/relationships/hyperlink" Target="mailto:karen.arandia@nuvu.cc" TargetMode="External"/><Relationship Id="rId120" Type="http://schemas.openxmlformats.org/officeDocument/2006/relationships/hyperlink" Target="mailto:karen.arandia@nuvu.cc" TargetMode="External"/><Relationship Id="rId358" Type="http://schemas.openxmlformats.org/officeDocument/2006/relationships/hyperlink" Target="https://drive.google.com/drive/folders/1S6F4S4Z3RYSYXE5GL-pnR23zYwHbeLJJ" TargetMode="External"/><Relationship Id="rId565" Type="http://schemas.openxmlformats.org/officeDocument/2006/relationships/hyperlink" Target="https://francisco.rosas@blend360.com/" TargetMode="External"/><Relationship Id="rId162" Type="http://schemas.openxmlformats.org/officeDocument/2006/relationships/hyperlink" Target="mailto:ciliana.capera@blend360.com" TargetMode="External"/><Relationship Id="rId218" Type="http://schemas.openxmlformats.org/officeDocument/2006/relationships/hyperlink" Target="mailto:karen.arandia@nuvu.cc" TargetMode="External"/><Relationship Id="rId425" Type="http://schemas.openxmlformats.org/officeDocument/2006/relationships/hyperlink" Target="../../NUVU-Proyectos/Shared%20Documents/Forms/AllItems.aspx?id=%2Fsites%2FNUVU%2DProyectos%2FShared%20Documents%2FU%2FUniversidad%20Nacional%2FOSES%202025%2F%5BP0336%5D%20UNA%20Gesti%C3%B3n%20de%20Informaci%C3%B3n%2F00%2E%20Administrativo&amp;viewid=1dd39751%2D8a05%2D4043%2D9a9c%2D470bed0d9f3c" TargetMode="External"/><Relationship Id="rId467" Type="http://schemas.openxmlformats.org/officeDocument/2006/relationships/hyperlink" Target="mailto:nicolas.revollo@blend360.com" TargetMode="External"/><Relationship Id="rId632" Type="http://schemas.openxmlformats.org/officeDocument/2006/relationships/hyperlink" Target="https://wgcp.sharepoint.com0/" TargetMode="External"/><Relationship Id="rId271" Type="http://schemas.openxmlformats.org/officeDocument/2006/relationships/hyperlink" Target="../../../:f:/r/sites/NUVU-Legal/Shared%20Documents/Gesti%C3%B3n%20Contractual/Contratos%20Clientes%20y%20Proveedores/Contratos%20Clientes/C/Coljuegos%20S.A?csf=1&amp;web=1&amp;e=dBSOh7" TargetMode="External"/><Relationship Id="rId24" Type="http://schemas.openxmlformats.org/officeDocument/2006/relationships/hyperlink" Target="https://drive.google.com/file/d/1pVuO_-me2aub8btCyX7ux5SBrt_2GLOJ/view?usp=drive_link" TargetMode="External"/><Relationship Id="rId66" Type="http://schemas.openxmlformats.org/officeDocument/2006/relationships/hyperlink" Target="mailto:nicolas.revollo@blend360.com" TargetMode="External"/><Relationship Id="rId131" Type="http://schemas.openxmlformats.org/officeDocument/2006/relationships/hyperlink" Target="mailto:alejandra.gomez@blend360.com" TargetMode="External"/><Relationship Id="rId327" Type="http://schemas.openxmlformats.org/officeDocument/2006/relationships/hyperlink" Target="mailto:nicolas.revollo@blend360.com" TargetMode="External"/><Relationship Id="rId369" Type="http://schemas.openxmlformats.org/officeDocument/2006/relationships/hyperlink" Target="../../../:f:/s/NUVU-Proyectos/EvC-Quqi7xpNrpd2JphNWOkBTyTDM96P_ouQ27_Nhq3VHA?e=ktATn5" TargetMode="External"/><Relationship Id="rId534" Type="http://schemas.openxmlformats.org/officeDocument/2006/relationships/hyperlink" Target="mailto:carlos.sierra@blend360.com" TargetMode="External"/><Relationship Id="rId576" Type="http://schemas.openxmlformats.org/officeDocument/2006/relationships/hyperlink" Target="../../../:f:/s/NUVU-Proyectos/En6SRDZPljZMm6Bf8FjWEYsBHMnGmGQW9m51yCMebHJKaw?e=BnddNS" TargetMode="External"/><Relationship Id="rId173" Type="http://schemas.openxmlformats.org/officeDocument/2006/relationships/hyperlink" Target="mailto:alejandra.gomez@blend360.com" TargetMode="External"/><Relationship Id="rId229" Type="http://schemas.openxmlformats.org/officeDocument/2006/relationships/hyperlink" Target="mailto:carlos.sierra@blend360.com" TargetMode="External"/><Relationship Id="rId380" Type="http://schemas.openxmlformats.org/officeDocument/2006/relationships/hyperlink" Target="../../../:f:/s/NUVU-Proyectos/EoCgS_u3-85FjOn2YqyVS0cB8sopM0KfNugvwFhaYz1e8g?e=IK06Yf" TargetMode="External"/><Relationship Id="rId436" Type="http://schemas.openxmlformats.org/officeDocument/2006/relationships/hyperlink" Target="../../NUVU-Proyectos/Shared%20Documents/Forms/AllItems.aspx?id=%2Fsites%2FNUVU%2DProyectos%2FShared%20Documents%2FU%2FUniversidad%20Nacional%2FOSES%202025%2F%5BP0356%5D%20Facultad%20de%20Derecho%2F00%2E%20Administrativos&amp;viewid=1dd39751%2D8a05%2D4043%2D9a9c%2D470bed0d9f3c&amp;newTargetListUrl=%2Fsites%2FNUVU%2DProyectos%2FShared%20Documents&amp;viewpath=%2Fsites%2FNUVU%2DProyectos%2FShared%20Documents%2FForms%2FAllItems%2Easpx" TargetMode="External"/><Relationship Id="rId601" Type="http://schemas.openxmlformats.org/officeDocument/2006/relationships/hyperlink" Target="https://wgcp.sharepoint.com0/" TargetMode="External"/><Relationship Id="rId643" Type="http://schemas.openxmlformats.org/officeDocument/2006/relationships/hyperlink" Target="../../../:b:/s/NUVU-Proyectos/IQA5fJUib7cVTLU8dwME68yuAfCNppKxG2k9TnAKH9yEnM0?e=RllE3A" TargetMode="External"/><Relationship Id="rId240" Type="http://schemas.openxmlformats.org/officeDocument/2006/relationships/hyperlink" Target="mailto:juan.bernal@blend360.com" TargetMode="External"/><Relationship Id="rId478" Type="http://schemas.openxmlformats.org/officeDocument/2006/relationships/hyperlink" Target="../../../:b:/s/NUVU-Proyectos/IQDQUZC4bNgIRLPtnejmJNZgAX-i8h2mxHlw90CXhz4Zkzo?e=Cx7AAB" TargetMode="External"/><Relationship Id="rId35" Type="http://schemas.openxmlformats.org/officeDocument/2006/relationships/hyperlink" Target="https://drive.google.com/drive/folders/1G0v-qHM_XqIqAPUDbz9H8ldoFd_uYKhR" TargetMode="External"/><Relationship Id="rId77" Type="http://schemas.openxmlformats.org/officeDocument/2006/relationships/hyperlink" Target="mailto:nicolas.revollo@blend360.com" TargetMode="External"/><Relationship Id="rId100" Type="http://schemas.openxmlformats.org/officeDocument/2006/relationships/hyperlink" Target="mailto:alejandra.gomez@blend360.com" TargetMode="External"/><Relationship Id="rId282" Type="http://schemas.openxmlformats.org/officeDocument/2006/relationships/hyperlink" Target="mailto:nicolas.revollo@blend360.com" TargetMode="External"/><Relationship Id="rId338" Type="http://schemas.openxmlformats.org/officeDocument/2006/relationships/hyperlink" Target="mailto:karen.arandia@nuvu.cc" TargetMode="External"/><Relationship Id="rId503" Type="http://schemas.openxmlformats.org/officeDocument/2006/relationships/hyperlink" Target="../../../:f:/s/NUVU-Proyectos/IgBkuHyE0GRvTaPHfuwcrbSbAeLKiKNVD_faqLYiTwO3wKQ?e=BdGqmM" TargetMode="External"/><Relationship Id="rId545" Type="http://schemas.openxmlformats.org/officeDocument/2006/relationships/hyperlink" Target="mailto:carlos.sierra@blend360.com" TargetMode="External"/><Relationship Id="rId587" Type="http://schemas.openxmlformats.org/officeDocument/2006/relationships/hyperlink" Target="../../../:f:/s/NUVU-Proyectos/IgAlBq7t1DExSrNqA-tEmWQuAYfLtdHjX61VqZkAWo-nToU?e=QaHUSV" TargetMode="External"/><Relationship Id="rId8" Type="http://schemas.openxmlformats.org/officeDocument/2006/relationships/hyperlink" Target="../../../:f:/s/NUVU-Proyectos/EgerflSByXNDhmYTxgHJkQ4BwVzQVprNeRrgeFLC5NEQ2g?e=hNHrto" TargetMode="External"/><Relationship Id="rId142" Type="http://schemas.openxmlformats.org/officeDocument/2006/relationships/hyperlink" Target="mailto:karen.arandia@nuvu.cc" TargetMode="External"/><Relationship Id="rId184" Type="http://schemas.openxmlformats.org/officeDocument/2006/relationships/hyperlink" Target="mailto:karen.arandia@nuvu.cc" TargetMode="External"/><Relationship Id="rId391" Type="http://schemas.openxmlformats.org/officeDocument/2006/relationships/hyperlink" Target="../../../:f:/s/NUVU-Proyectos/EowfoHQKTrhJixTT_ESWEO8B5eNpVzKCENHdN5lpb3nNbg?e=enmDlb" TargetMode="External"/><Relationship Id="rId405" Type="http://schemas.openxmlformats.org/officeDocument/2006/relationships/hyperlink" Target="../../../:f:/s/NUVU-Proyectos/Eld_-ym1ADVBmjaU9T-74OcBKJvKGzGbqoWZx7agDo61qQ?e=fBCVM1" TargetMode="External"/><Relationship Id="rId447" Type="http://schemas.openxmlformats.org/officeDocument/2006/relationships/hyperlink" Target="../../../:f:/s/NUVU-Proyectos/EigIuz4hpPtBj5V2MDV5PfkBtehrrUqLaWUDWxC41UqE-A?e=zjWO8i" TargetMode="External"/><Relationship Id="rId612" Type="http://schemas.openxmlformats.org/officeDocument/2006/relationships/hyperlink" Target="https://wgcp.sharepoint.com0/" TargetMode="External"/><Relationship Id="rId251" Type="http://schemas.openxmlformats.org/officeDocument/2006/relationships/hyperlink" Target="../../NUVU-Proyectos/Shared%20Documents/Forms/AllItems.aspx?id=%2Fsites%2FNUVU%2DProyectos%2FShared%20Documents%2FP%2FPolic%C3%ADa%20Nacional%2F2025%2F%5BP0347%5D%20%2D%20PON%20%2D%20IAPOL%2DG%20%2D%20IA%20Generativa&amp;viewid=1dd39751%2D8a05%2D4043%2D9a9c%2D470bed0d9f3c" TargetMode="External"/><Relationship Id="rId489" Type="http://schemas.openxmlformats.org/officeDocument/2006/relationships/hyperlink" Target="../../NUVU-Comercial/Shared%20Documents/Forms/AllItems.aspx?id=%2Fsites%2FNUVU%2DComercial%2FShared%20Documents%2FU%2FUniversidad%20Nacional%20de%20Colombia%2F2025%2F01%2E%20Acuerdo%20Marco%2FAcuerdo%20y%20Adiciones%2FOSES%2FDivisi%C3%B3n%20Extensi%C3%B3n&amp;p=true&amp;CT=1745948383954&amp;OR=OWA%2DNT%2DMail&amp;CID=d414a553%2Dbfe1%2D99ba%2D35a5%2D68e74f7f74f3&amp;ga=1" TargetMode="External"/><Relationship Id="rId654" Type="http://schemas.openxmlformats.org/officeDocument/2006/relationships/table" Target="../tables/table2.xml"/><Relationship Id="rId46" Type="http://schemas.openxmlformats.org/officeDocument/2006/relationships/hyperlink" Target="mailto:alejandra.gomez@blend360.com" TargetMode="External"/><Relationship Id="rId293" Type="http://schemas.openxmlformats.org/officeDocument/2006/relationships/hyperlink" Target="mailto:nicolas.revollo@blend360.com" TargetMode="External"/><Relationship Id="rId307" Type="http://schemas.openxmlformats.org/officeDocument/2006/relationships/hyperlink" Target="mailto:diana.rojas@blend360.com" TargetMode="External"/><Relationship Id="rId349" Type="http://schemas.openxmlformats.org/officeDocument/2006/relationships/hyperlink" Target="mailto:carolina.aleman@blend360.com" TargetMode="External"/><Relationship Id="rId514" Type="http://schemas.openxmlformats.org/officeDocument/2006/relationships/hyperlink" Target="mailto:alejandra.gomez@blend360.com" TargetMode="External"/><Relationship Id="rId556" Type="http://schemas.openxmlformats.org/officeDocument/2006/relationships/hyperlink" Target="mailto:carlos.sierra@blend360.com" TargetMode="External"/><Relationship Id="rId88" Type="http://schemas.openxmlformats.org/officeDocument/2006/relationships/hyperlink" Target="mailto:alejandra.gomez@blend360.com" TargetMode="External"/><Relationship Id="rId111" Type="http://schemas.openxmlformats.org/officeDocument/2006/relationships/hyperlink" Target="mailto:ciliana.capera@blend360.com" TargetMode="External"/><Relationship Id="rId153" Type="http://schemas.openxmlformats.org/officeDocument/2006/relationships/hyperlink" Target="mailto:nicolas.revollo@blend360.com" TargetMode="External"/><Relationship Id="rId195" Type="http://schemas.openxmlformats.org/officeDocument/2006/relationships/hyperlink" Target="https://drive.google.com/drive/folders/1G0v-qHM_XqIqAPUDbz9H8ldoFd_uYKhR" TargetMode="External"/><Relationship Id="rId209" Type="http://schemas.openxmlformats.org/officeDocument/2006/relationships/hyperlink" Target="mailto:moises.rojas@blend360.com" TargetMode="External"/><Relationship Id="rId360" Type="http://schemas.openxmlformats.org/officeDocument/2006/relationships/hyperlink" Target="mailto:moises.rojas@blend360.com" TargetMode="External"/><Relationship Id="rId416" Type="http://schemas.openxmlformats.org/officeDocument/2006/relationships/hyperlink" Target="../../NUVU-Proyectos/Shared%20Documents/Forms/AllItems.aspx?id=%2Fsites%2FNUVU%2DProyectos%2FShared%20Documents%2FC%2FCAT%20%2D%20Catastro%20Distrital%2F%5BP2124%5D%20CAT%20%2D%20Agente%20Cognitivo%20e%20Infraestructura%20AWS%2F01%2E%20Documentaci%C3%B3n%20esencial%2F01%20%2D%20Habilitadores&amp;viewid=1dd39751%2D8a05%2D4043%2D9a9c%2D470bed0d9f3c" TargetMode="External"/><Relationship Id="rId598" Type="http://schemas.openxmlformats.org/officeDocument/2006/relationships/hyperlink" Target="https://wgcp.sharepoint.com0/" TargetMode="External"/><Relationship Id="rId220" Type="http://schemas.openxmlformats.org/officeDocument/2006/relationships/hyperlink" Target="mailto:marcela.sanchez@blend360.com" TargetMode="External"/><Relationship Id="rId458" Type="http://schemas.openxmlformats.org/officeDocument/2006/relationships/hyperlink" Target="mailto:karen.arandia@nuvu.cc" TargetMode="External"/><Relationship Id="rId623" Type="http://schemas.openxmlformats.org/officeDocument/2006/relationships/hyperlink" Target="https://wgcp.sharepoint.com0/" TargetMode="External"/><Relationship Id="rId15" Type="http://schemas.openxmlformats.org/officeDocument/2006/relationships/hyperlink" Target="https://drive.google.com/file/d/1WwhsK86PyM0sKPlvQ7Bc7xzU6D_JqaMx/view?usp=drive_link" TargetMode="External"/><Relationship Id="rId57" Type="http://schemas.openxmlformats.org/officeDocument/2006/relationships/hyperlink" Target="mailto:alejandra.gomez@blend360.com" TargetMode="External"/><Relationship Id="rId262" Type="http://schemas.openxmlformats.org/officeDocument/2006/relationships/hyperlink" Target="mailto:alejandra.gomez@blend360.com" TargetMode="External"/><Relationship Id="rId318" Type="http://schemas.openxmlformats.org/officeDocument/2006/relationships/hyperlink" Target="mailto:moises.rojas@blend360.com" TargetMode="External"/><Relationship Id="rId525" Type="http://schemas.openxmlformats.org/officeDocument/2006/relationships/hyperlink" Target="../../../:f:/s/NUVU-Proyectos/IgBKmKbEXdH-TaVySCy8Bx4TAVmHlB0sDBh8G_KMvPkm-fs?e=PCAtkJ" TargetMode="External"/><Relationship Id="rId567" Type="http://schemas.openxmlformats.org/officeDocument/2006/relationships/hyperlink" Target="../../../:f:/s/NUVU-Proyectos/IgAlBq7t1DExSrNqA-tEmWQuAYfLtdHjX61VqZkAWo-nToU?e=QaHUSV" TargetMode="External"/><Relationship Id="rId99" Type="http://schemas.openxmlformats.org/officeDocument/2006/relationships/hyperlink" Target="mailto:karen.arandia@nuvu.cc" TargetMode="External"/><Relationship Id="rId122" Type="http://schemas.openxmlformats.org/officeDocument/2006/relationships/hyperlink" Target="mailto:karen.arandia@nuvu.cc" TargetMode="External"/><Relationship Id="rId164" Type="http://schemas.openxmlformats.org/officeDocument/2006/relationships/hyperlink" Target="../../../:f:/s/NUVU-Proyectos/Esu3KjdKObJGg9b4Jn0VB4IBZJG0f2zgwVjqMy0dsL6Wcw?e=EwvPYe" TargetMode="External"/><Relationship Id="rId371" Type="http://schemas.openxmlformats.org/officeDocument/2006/relationships/hyperlink" Target="../../../:f:/s/NUVU-Proyectos/Epij0bfwdJRNoA4iX_z27eABDohxlvxCtvIQ_O5OW0dzTA?e=u3bvKV" TargetMode="External"/><Relationship Id="rId427" Type="http://schemas.openxmlformats.org/officeDocument/2006/relationships/hyperlink" Target="../../NUVU-Proyectos/Shared%20Documents/Forms/AllItems.aspx?id=%2Fsites%2FNUVU%2DProyectos%2FShared%20Documents%2FU%2FUniversidad%20Nacional%2FOSES%202025%2F%5BP0306%5D%20HPC%20Registro%20y%20Matr%C3%ADcula%2F00%2E%20Administrativo&amp;newTargetListUrl=%2Fsites%2FNUVU%2DProyectos%2FShared%20Documents&amp;viewpath=%2Fsites%2FNUVU%2DProyectos%2FShared%20Documents%2FForms%2FAllItems%2Easpx" TargetMode="External"/><Relationship Id="rId469" Type="http://schemas.openxmlformats.org/officeDocument/2006/relationships/hyperlink" Target="../../NUVU-Comercial/Shared%20Documents/Forms/AllItems.aspx?id=%2Fsites%2FNUVU%2DComercial%2FShared%20Documents%2FI%2FICFES%20%2D%20Instituto%20Colombiano%20para%20la%20Evaluaci%C3%B3n%20de%20la%20Educaci%C3%B3n%2F2025%2FBanco%20de%20Items%2FV2%20%28sin%20buscador%29&amp;viewid=1dd39751%2D8a05%2D4043%2D9a9c%2D470bed0d9f3c&amp;newTargetListUrl=%2Fsites%2FNUVU%2DComercial%2FShared%20Documents&amp;viewpath=%2Fsites%2FNUVU%2DComercial%2FShared%20Documents%2FForms%2FAllItems%2Easpx" TargetMode="External"/><Relationship Id="rId634" Type="http://schemas.openxmlformats.org/officeDocument/2006/relationships/hyperlink" Target="../../../:b:/s/NUVU-Proyectos/IQC7Roa2N0jGRbglGYzGq2lFAXVdfSuma8Y6dte3AvcoLOQ?e=S9Tz1h" TargetMode="External"/><Relationship Id="rId26" Type="http://schemas.openxmlformats.org/officeDocument/2006/relationships/hyperlink" Target="../../../:f:/s/NUVU-Proyectos/Etpy6UYS--FEmyQj9HUXw_QBGDwNW0vXjicbBsNdVjk13Q?e=r8vO6A" TargetMode="External"/><Relationship Id="rId231" Type="http://schemas.openxmlformats.org/officeDocument/2006/relationships/hyperlink" Target="mailto:marcela.sanchez@blend360.com" TargetMode="External"/><Relationship Id="rId273" Type="http://schemas.openxmlformats.org/officeDocument/2006/relationships/hyperlink" Target="../../../:f:/r/sites/NUVU-Legal/Shared%20Documents/Gesti%C3%B3n%20Contractual/Contratos%20Clientes%20y%20Proveedores/Contratos%20Clientes/C/Coljuegos%20S.A?csf=1&amp;web=1&amp;e=dBSOh7" TargetMode="External"/><Relationship Id="rId329" Type="http://schemas.openxmlformats.org/officeDocument/2006/relationships/hyperlink" Target="https://drive.google.com/drive/folders/16SAZSrznaM2MTPbdi5HRcOIhH0scT5r8" TargetMode="External"/><Relationship Id="rId480" Type="http://schemas.openxmlformats.org/officeDocument/2006/relationships/hyperlink" Target="../../NUVU-Proyectos/Shared%20Documents/Forms/AllItems.aspx?id=%2Fsites%2FNUVU%2DProyectos%2FShared%20Documents%2FU%2FUniversidad%20Nacional%2F%5BP0387%5D%20CO%2D%20Universidad%20Nacional%20%2D%20Fortinet&amp;viewid=1dd39751%2D8a05%2D4043%2D9a9c%2D470bed0d9f3c&amp;newTargetListUrl=%2Fsites%2FNUVU%2DProyectos%2FShared%20Documents&amp;viewpath=%2Fsites%2FNUVU%2DProyectos%2FShared%20Documents%2FForms%2FAllItems%2Easpx" TargetMode="External"/><Relationship Id="rId536" Type="http://schemas.openxmlformats.org/officeDocument/2006/relationships/hyperlink" Target="mailto:carlos.sierra@blend360.com" TargetMode="External"/><Relationship Id="rId68" Type="http://schemas.openxmlformats.org/officeDocument/2006/relationships/hyperlink" Target="mailto:nicolas.revollo@blend360.com" TargetMode="External"/><Relationship Id="rId133" Type="http://schemas.openxmlformats.org/officeDocument/2006/relationships/hyperlink" Target="../../NUVU-Comercial/Shared%20Documents/Forms/AllItems.aspx?id=%2Fsites%2FNUVU%2DComercial%2FShared%20Documents%2FU%2FUniversidad%20Nacional%20de%20Colombia&amp;viewid=1dd39751%2D8a05%2D4043%2D9a9c%2D470bed0d9f3c&amp;p=true&amp;CT=1745808306265&amp;OR=OWA%2DNT%2DMail&amp;CID=ad2b5c58%2D60e1%2D9b02%2D67ca%2Da499d3dcc575&amp;ga=1" TargetMode="External"/><Relationship Id="rId175" Type="http://schemas.openxmlformats.org/officeDocument/2006/relationships/hyperlink" Target="../../../:f:/s/NUVU-Proyectos/EtAyo01uscNJpnx-ZFpXIpsBsBRIf-Vv1cxj8o7ewSj8KQ?e=bPEFUs" TargetMode="External"/><Relationship Id="rId340" Type="http://schemas.openxmlformats.org/officeDocument/2006/relationships/hyperlink" Target="mailto:juan.bernal@blend360.com" TargetMode="External"/><Relationship Id="rId578" Type="http://schemas.openxmlformats.org/officeDocument/2006/relationships/hyperlink" Target="mailto:carlos.sierra@blend360.com" TargetMode="External"/><Relationship Id="rId200" Type="http://schemas.openxmlformats.org/officeDocument/2006/relationships/hyperlink" Target="mailto:moises.rojas@blend360.com" TargetMode="External"/><Relationship Id="rId382" Type="http://schemas.openxmlformats.org/officeDocument/2006/relationships/hyperlink" Target="../../../:f:/s/NUVU-Proyectos/EoCgS_u3-85FjOn2YqyVS0cB8sopM0KfNugvwFhaYz1e8g?e=IK06Yf" TargetMode="External"/><Relationship Id="rId438" Type="http://schemas.openxmlformats.org/officeDocument/2006/relationships/hyperlink" Target="../../NUVU-Proyectos/Shared%20Documents/Forms/AllItems.aspx?id=%2Fsites%2FNUVU%2DProyectos%2FShared%20Documents%2FU%2FUniversidad%20Nacional%2FOSES%202025%2F%5BP0360%5D%20Gesti%C3%B3n%20ambiental%2F00%2E%20Administrativos&amp;viewid=1dd39751%2D8a05%2D4043%2D9a9c%2D470bed0d9f3c&amp;newTargetListUrl=%2Fsites%2FNUVU%2DProyectos%2FShared%20Documents&amp;viewpath=%2Fsites%2FNUVU%2DProyectos%2FShared%20Documents%2FForms%2FAllItems%2Easpx" TargetMode="External"/><Relationship Id="rId603" Type="http://schemas.openxmlformats.org/officeDocument/2006/relationships/hyperlink" Target="../../../:b:/s/NUVU-Proyectos/IQABo-cM_kQ9VrOfm--k8tbVAaRLttd3dWlyy9s53napM7A?e=UbppNX" TargetMode="External"/><Relationship Id="rId645" Type="http://schemas.openxmlformats.org/officeDocument/2006/relationships/hyperlink" Target="https://wgcp.sharepoint.com0/" TargetMode="External"/><Relationship Id="rId242" Type="http://schemas.openxmlformats.org/officeDocument/2006/relationships/hyperlink" Target="mailto:moises.rojas@blend360.com" TargetMode="External"/><Relationship Id="rId284" Type="http://schemas.openxmlformats.org/officeDocument/2006/relationships/hyperlink" Target="mailto:ciliana.capera@blend360.com" TargetMode="External"/><Relationship Id="rId491" Type="http://schemas.openxmlformats.org/officeDocument/2006/relationships/hyperlink" Target="../../NUVU-Proyectos/Shared%20Documents/Forms/AllItems.aspx?id=%2Fsites%2FNUVU%2DProyectos%2FShared%20Documents%2FU%2FUniversidad%20Nacional%2FOSES%202025%2F%5BP0355%5D%20Dinara%2F00%2E%20Administrativos&amp;viewid=1dd39751%2D8a05%2D4043%2D9a9c%2D470bed0d9f3c&amp;newTargetListUrl=%2Fsites%2FNUVU%2DProyectos%2FShared%20Documents&amp;viewpath=%2Fsites%2FNUVU%2DProyectos%2FShared%20Documents%2FForms%2FAllItems%2Easpx" TargetMode="External"/><Relationship Id="rId505" Type="http://schemas.openxmlformats.org/officeDocument/2006/relationships/hyperlink" Target="../../../:f:/s/NUVU-Proyectos/IgBkuHyE0GRvTaPHfuwcrbSbAeLKiKNVD_faqLYiTwO3wKQ?e=BdGqmM" TargetMode="External"/><Relationship Id="rId37" Type="http://schemas.openxmlformats.org/officeDocument/2006/relationships/hyperlink" Target="mailto:steven.nino@blend360.com" TargetMode="External"/><Relationship Id="rId79" Type="http://schemas.openxmlformats.org/officeDocument/2006/relationships/hyperlink" Target="mailto:alejandra.gomez@blend360.com" TargetMode="External"/><Relationship Id="rId102" Type="http://schemas.openxmlformats.org/officeDocument/2006/relationships/hyperlink" Target="mailto:nicolas.revollo@blend360.com" TargetMode="External"/><Relationship Id="rId144" Type="http://schemas.openxmlformats.org/officeDocument/2006/relationships/hyperlink" Target="../../NUVU-Comercial/Shared%20Documents/Forms/AllItems.aspx?id=%2Fsites%2FNUVU%2DComercial%2FShared%20Documents%2FU%2FUniversidad%20Nacional%20de%20Colombia%2F2025%2F01%2E%20Acuerdo%20Marco%2FAcuerdo%20y%20Adiciones%2FOSES%2FDivisi%C3%B3n%20Extensi%C3%B3n&amp;p=true&amp;CT=1745948383954&amp;OR=OWA%2DNT%2DMail&amp;CID=d414a553%2Dbfe1%2D99ba%2D35a5%2D68e74f7f74f3&amp;ga=1" TargetMode="External"/><Relationship Id="rId547" Type="http://schemas.openxmlformats.org/officeDocument/2006/relationships/hyperlink" Target="mailto:carlos.sierra@blend360.com" TargetMode="External"/><Relationship Id="rId589" Type="http://schemas.openxmlformats.org/officeDocument/2006/relationships/hyperlink" Target="../../../:f:/s/NUVU-Proyectos/IgAlBq7t1DExSrNqA-tEmWQuAYfLtdHjX61VqZkAWo-nToU?e=QaHUSV" TargetMode="External"/><Relationship Id="rId90" Type="http://schemas.openxmlformats.org/officeDocument/2006/relationships/hyperlink" Target="mailto:karen.arandia@nuvu.cc" TargetMode="External"/><Relationship Id="rId186" Type="http://schemas.openxmlformats.org/officeDocument/2006/relationships/hyperlink" Target="mailto:juan.bernal@blend360.com" TargetMode="External"/><Relationship Id="rId351" Type="http://schemas.openxmlformats.org/officeDocument/2006/relationships/hyperlink" Target="mailto:carolina.aleman@blend360.com" TargetMode="External"/><Relationship Id="rId393" Type="http://schemas.openxmlformats.org/officeDocument/2006/relationships/hyperlink" Target="../../../:f:/s/NUVU-Proyectos/EtZkwtbPNh5Cj3NjXmYKJP8B2M_5ZjmaYI6FcWEcHUAu4w?e=ijrHfp" TargetMode="External"/><Relationship Id="rId407" Type="http://schemas.openxmlformats.org/officeDocument/2006/relationships/hyperlink" Target="../../../:f:/s/NUVU-Proyectos/EmcWFnNU1JpJjUwSBDvzPtcBP4WpVOVE4Ot6cfLRS7yUvQ?e=klBQBM" TargetMode="External"/><Relationship Id="rId449" Type="http://schemas.openxmlformats.org/officeDocument/2006/relationships/hyperlink" Target="../../../:b:/s/NUVU-Proyectos/ESkDD27ESSdGle5eFnDtJ48Bp_O_B_J-WKPkH-3pjpL82g?e=pHhc4Z" TargetMode="External"/><Relationship Id="rId614" Type="http://schemas.openxmlformats.org/officeDocument/2006/relationships/hyperlink" Target="../../../:b:/s/NUVU-Proyectos/IQC01iv30o1cQKNN4ZwjJ7n1AasLMGxE8NB64BWpHAPOi98?e=CccexS" TargetMode="External"/><Relationship Id="rId656" Type="http://schemas.microsoft.com/office/2017/10/relationships/threadedComment" Target="../threadedComments/threadedComment2.xml"/><Relationship Id="rId211" Type="http://schemas.openxmlformats.org/officeDocument/2006/relationships/hyperlink" Target="mailto:karen.arandia@nuvu.cc" TargetMode="External"/><Relationship Id="rId253" Type="http://schemas.openxmlformats.org/officeDocument/2006/relationships/hyperlink" Target="mailto:moises.rojas@blend360.com" TargetMode="External"/><Relationship Id="rId295" Type="http://schemas.openxmlformats.org/officeDocument/2006/relationships/hyperlink" Target="mailto:alejandra.gomez@blend360.com" TargetMode="External"/><Relationship Id="rId309" Type="http://schemas.openxmlformats.org/officeDocument/2006/relationships/hyperlink" Target="mailto:ciliana.capera@blend360.com" TargetMode="External"/><Relationship Id="rId460" Type="http://schemas.openxmlformats.org/officeDocument/2006/relationships/hyperlink" Target="../../NUVU-Proyectos/Shared%20Documents/Forms/AllItems.aspx?id=%2Fsites%2FNUVU%2DProyectos%2FShared%20Documents%2FA%2FAlcaldia%20de%20Cali%2F%5BP2604%5D%20ACA%20%2D%20Hacienda%20a%20un%20Click&amp;viewid=1dd39751%2D8a05%2D4043%2D9a9c%2D470bed0d9f3c" TargetMode="External"/><Relationship Id="rId516" Type="http://schemas.openxmlformats.org/officeDocument/2006/relationships/hyperlink" Target="mailto:alejandra.gomez@blend360.com" TargetMode="External"/><Relationship Id="rId48" Type="http://schemas.openxmlformats.org/officeDocument/2006/relationships/hyperlink" Target="mailto:alejandra.gomez@blend360.com" TargetMode="External"/><Relationship Id="rId113" Type="http://schemas.openxmlformats.org/officeDocument/2006/relationships/hyperlink" Target="../../../:b:/r/sites/NUVU-Legal/Shared%20Documents/Gesti%C3%B3n%20Contractual/Contratos%20Clientes%20y%20Proveedores/Contratos%20Clientes/F/Financiera%20de%20Desarrollo%20Nacional%20-%20FDN/Contratos/Orden%20de%20compra%204402476%20-%20Infraestructura%20Cloud/Pedido%204402476%20HIGH%20TECH%20SOFTWARE%20SAS.pdf?csf=1&amp;web=1&amp;e=8zEVdb" TargetMode="External"/><Relationship Id="rId320" Type="http://schemas.openxmlformats.org/officeDocument/2006/relationships/hyperlink" Target="mailto:ciliana.capera@blend360.com" TargetMode="External"/><Relationship Id="rId558" Type="http://schemas.openxmlformats.org/officeDocument/2006/relationships/hyperlink" Target="mailto:carlos.sierra@blend360.com" TargetMode="External"/><Relationship Id="rId155" Type="http://schemas.openxmlformats.org/officeDocument/2006/relationships/hyperlink" Target="../../NUVU-Proyectos/Shared%20Documents/Forms/AllItems.aspx?id=%2Fsites%2FNUVU%2DProyectos%2FShared%20Documents%2FU%2FUniversidad%20Nacional&amp;sortField=LinkFilename&amp;isAscending=true&amp;viewid=1dd39751%2D8a05%2D4043%2D9a9c%2D470bed0d9f3c&amp;CT=1747430562325&amp;OR=OWA%2DNT%2DMail&amp;CID=e9f8afa4%2Ddaa0%2Daa3d%2D3c26%2Daceec7c7ca03" TargetMode="External"/><Relationship Id="rId197" Type="http://schemas.openxmlformats.org/officeDocument/2006/relationships/hyperlink" Target="mailto:moises.rojas@blend360.com" TargetMode="External"/><Relationship Id="rId362" Type="http://schemas.openxmlformats.org/officeDocument/2006/relationships/hyperlink" Target="mailto:karen.arandia@nuvu.cc" TargetMode="External"/><Relationship Id="rId418" Type="http://schemas.openxmlformats.org/officeDocument/2006/relationships/hyperlink" Target="../../NUVU-Proyectos/Shared%20Documents/Forms/AllItems.aspx?id=%2Fsites%2FNUVU%2DProyectos%2FShared%20Documents%2FA%2FADRES%2F%5BP2294%5D%20%2D%20ADR%20%2D%20MVP%20auditorias%2F00%20Administrativos%2FHabilitadores&amp;viewid=1dd39751%2D8a05%2D4043%2D9a9c%2D470bed0d9f3c" TargetMode="External"/><Relationship Id="rId625" Type="http://schemas.openxmlformats.org/officeDocument/2006/relationships/hyperlink" Target="https://wgcp.sharepoint.com0/" TargetMode="External"/><Relationship Id="rId222" Type="http://schemas.openxmlformats.org/officeDocument/2006/relationships/hyperlink" Target="mailto:ciliana.capera@blend360.com" TargetMode="External"/><Relationship Id="rId264" Type="http://schemas.openxmlformats.org/officeDocument/2006/relationships/hyperlink" Target="../../NUVU-Comercial/Shared%20Documents/Forms/AllItems.aspx?id=%2Fsites%2FNUVU%2DComercial%2FShared%20Documents%2FU%2FUniversidad%20Nacional%20de%20Colombia&amp;viewid=1dd39751%2D8a05%2D4043%2D9a9c%2D470bed0d9f3c&amp;p=true&amp;CT=1745808306265&amp;OR=OWA%2DNT%2DMail&amp;CID=ad2b5c58%2D60e1%2D9b02%2D67ca%2Da499d3dcc575&amp;ga=1" TargetMode="External"/><Relationship Id="rId471" Type="http://schemas.openxmlformats.org/officeDocument/2006/relationships/hyperlink" Target="../../NUVU-Comercial/Shared%20Documents/Forms/AllItems.aspx?id=%2Fsites%2FNUVU%2DComercial%2FShared%20Documents%2FI%2FICFES%20%2D%20Instituto%20Colombiano%20para%20la%20Evaluaci%C3%B3n%20de%20la%20Educaci%C3%B3n%2F2025%2FMigracion%20Infraestructura%2FOperac%C3%B3n%20en%20AWS%20a%20partir%20de%20oct%202025&amp;viewid=1dd39751%2D8a05%2D4043%2D9a9c%2D470bed0d9f3c&amp;newTargetListUrl=%2Fsites%2FNUVU%2DComercial%2FShared%20Documents&amp;viewpath=%2Fsites%2FNUVU%2DComercial%2FShared%20Documents%2FForms%2FAllItems%2Easpx" TargetMode="External"/><Relationship Id="rId17" Type="http://schemas.openxmlformats.org/officeDocument/2006/relationships/hyperlink" Target="https://drive.google.com/file/d/1FtgoDj0z43-IFpzVCJt-Lv7hlcwyo6X1/view?usp=drive_link" TargetMode="External"/><Relationship Id="rId59" Type="http://schemas.openxmlformats.org/officeDocument/2006/relationships/hyperlink" Target="mailto:fernando.ortega@blend360.com" TargetMode="External"/><Relationship Id="rId124" Type="http://schemas.openxmlformats.org/officeDocument/2006/relationships/hyperlink" Target="mailto:moises.rojas@blend360.com" TargetMode="External"/><Relationship Id="rId527" Type="http://schemas.openxmlformats.org/officeDocument/2006/relationships/hyperlink" Target="https://blend360-llc.app.netsuitesuiteprojectspro.com/project.pl?uid=QEQ9FmkS8RGEmHpMpzwcVA;app=pm;layout=3;page=1;save_action=edit;r=XydfAuF8702;project_id=2729;action=outline" TargetMode="External"/><Relationship Id="rId569" Type="http://schemas.openxmlformats.org/officeDocument/2006/relationships/hyperlink" Target="mailto:alejandra.gomez@blend360.com" TargetMode="External"/><Relationship Id="rId70" Type="http://schemas.openxmlformats.org/officeDocument/2006/relationships/hyperlink" Target="mailto:nicolas.revollo@blend360.com" TargetMode="External"/><Relationship Id="rId166" Type="http://schemas.openxmlformats.org/officeDocument/2006/relationships/hyperlink" Target="https://drive.google.com/drive/u/0/folders/1e3CUiy4QQJNkWOoWgZVjMDvkbWM6_9Do" TargetMode="External"/><Relationship Id="rId331" Type="http://schemas.openxmlformats.org/officeDocument/2006/relationships/hyperlink" Target="mailto:karen.arandia@nuvu.cc" TargetMode="External"/><Relationship Id="rId373" Type="http://schemas.openxmlformats.org/officeDocument/2006/relationships/hyperlink" Target="../../../:f:/s/NUVU-Proyectos/ErSAg9EtVRdNp92YH_ZsVlEBuJZR255BHku3ic5j36VeQw?e=xeqnIz" TargetMode="External"/><Relationship Id="rId429" Type="http://schemas.openxmlformats.org/officeDocument/2006/relationships/hyperlink" Target="../../NUVU-Proyectos/Shared%20Documents/Forms/AllItems.aspx?id=%2Fsites%2FNUVU%2DProyectos%2FShared%20Documents%2FU%2FUniversidad%20Nacional%2F7%2E%20%5BP0344%5D%20Quipu%20%2D%20Soporte%20y%20Mantenimiento%202025%2F00%20Administrativo&amp;newTargetListUrl=%2Fsites%2FNUVU%2DProyectos%2FShared%20Documents&amp;viewpath=%2Fsites%2FNUVU%2DProyectos%2FShared%20Documents%2FForms%2FAllItems%2Easpx" TargetMode="External"/><Relationship Id="rId580" Type="http://schemas.openxmlformats.org/officeDocument/2006/relationships/hyperlink" Target="mailto:nicolas.revollo@blend360.com" TargetMode="External"/><Relationship Id="rId636" Type="http://schemas.openxmlformats.org/officeDocument/2006/relationships/hyperlink" Target="../../../:w:/s/NUVU-Proyectos/IQA9oIY0obOTQ6_ALa_5n2xTAaWa9YjVIcun8GeiHrD14V0?e=eulf6c" TargetMode="External"/><Relationship Id="rId1" Type="http://schemas.openxmlformats.org/officeDocument/2006/relationships/hyperlink" Target="https://drive.google.com/drive/folders/1lfCCSnn6BFm5Fn2u0dDiRoK2r2xqGheQ" TargetMode="External"/><Relationship Id="rId233" Type="http://schemas.openxmlformats.org/officeDocument/2006/relationships/hyperlink" Target="mailto:marcela.sanchez@blend360.com" TargetMode="External"/><Relationship Id="rId440" Type="http://schemas.openxmlformats.org/officeDocument/2006/relationships/hyperlink" Target="../../NUVU-Proyectos/Shared%20Documents/Forms/AllItems.aspx?id=%2Fsites%2FNUVU%2DProyectos%2FShared%20Documents%2FU%2FUniversidad%20Nacional%2FOSES%202025%2F%5BP0352%5D%20Admisiones%2F00%2E%20Administrativos&amp;viewid=1dd39751%2D8a05%2D4043%2D9a9c%2D470bed0d9f3c&amp;newTargetListUrl=%2Fsites%2FNUVU%2DProyectos%2FShared%20Documents&amp;viewpath=%2Fsites%2FNUVU%2DProyectos%2FShared%20Documents%2FForms%2FAllItems%2Easpx" TargetMode="External"/><Relationship Id="rId28" Type="http://schemas.openxmlformats.org/officeDocument/2006/relationships/hyperlink" Target="../../../:f:/s/NUVU-Proyectos/EgDdQ4U_X7FFiOVftwvkTz4BgZQTfoPqpqHajrY5YwNtjw?e=mF2IaQ" TargetMode="External"/><Relationship Id="rId275" Type="http://schemas.openxmlformats.org/officeDocument/2006/relationships/hyperlink" Target="../../../:f:/s/NUVU-Proyectos/EnKr9BIZ2KhLltXalrhCErAB0g8zR33QuKnbG5rqur8s_g?e=DMsbDw" TargetMode="External"/><Relationship Id="rId300" Type="http://schemas.openxmlformats.org/officeDocument/2006/relationships/hyperlink" Target="mailto:juan.bernal@blend360.com" TargetMode="External"/><Relationship Id="rId482" Type="http://schemas.openxmlformats.org/officeDocument/2006/relationships/hyperlink" Target="../../NUVU-Comercial/Shared%20Documents/Forms/AllItems.aspx?id=%2Fsites%2FNUVU%2DComercial%2FShared%20Documents%2FU%2FUniversidad%20Nacional%20de%20Colombia%2F2025%2F01%2E%20Acuerdo%20Marco%2FAcuerdo%20y%20Adiciones%2FOSES%2FDivisi%C3%B3n%20Extensi%C3%B3n&amp;p=true&amp;CT=1745948383954&amp;OR=OWA%2DNT%2DMail&amp;CID=d414a553%2Dbfe1%2D99ba%2D35a5%2D68e74f7f74f3&amp;ga=1" TargetMode="External"/><Relationship Id="rId538" Type="http://schemas.openxmlformats.org/officeDocument/2006/relationships/hyperlink" Target="mailto:carlos.sierra@blend360.com" TargetMode="External"/><Relationship Id="rId81" Type="http://schemas.openxmlformats.org/officeDocument/2006/relationships/hyperlink" Target="mailto:marcela.sanchez@blend360.com" TargetMode="External"/><Relationship Id="rId135" Type="http://schemas.openxmlformats.org/officeDocument/2006/relationships/hyperlink" Target="mailto:alejandra.gomez@blend360.com" TargetMode="External"/><Relationship Id="rId177" Type="http://schemas.openxmlformats.org/officeDocument/2006/relationships/hyperlink" Target="mailto:marcela.sanchez@blend360.com" TargetMode="External"/><Relationship Id="rId342" Type="http://schemas.openxmlformats.org/officeDocument/2006/relationships/hyperlink" Target="mailto:moises.rojas@blend360.com" TargetMode="External"/><Relationship Id="rId384" Type="http://schemas.openxmlformats.org/officeDocument/2006/relationships/hyperlink" Target="../../../:f:/s/NUVU-Proyectos/EkdbNixGBDtHtvqh1caU3VoB1bCkVnQr2AWWtKe3WST_gg?e=yGIcRa" TargetMode="External"/><Relationship Id="rId591" Type="http://schemas.openxmlformats.org/officeDocument/2006/relationships/hyperlink" Target="../../../:f:/s/NUVU-Proyectos/EigIuz4hpPtBj5V2MDV5PfkBtehrrUqLaWUDWxC41UqE-A?e=zjWO8i" TargetMode="External"/><Relationship Id="rId605" Type="http://schemas.openxmlformats.org/officeDocument/2006/relationships/hyperlink" Target="https://wgcp.sharepoint.com0/" TargetMode="External"/><Relationship Id="rId202" Type="http://schemas.openxmlformats.org/officeDocument/2006/relationships/hyperlink" Target="mailto:karen.arandia@nuvu.cc" TargetMode="External"/><Relationship Id="rId244" Type="http://schemas.openxmlformats.org/officeDocument/2006/relationships/hyperlink" Target="mailto:ciliana.capera@blend360.com" TargetMode="External"/><Relationship Id="rId647" Type="http://schemas.openxmlformats.org/officeDocument/2006/relationships/hyperlink" Target="../../../:w:/s/NUVU-Proyectos/IQCuR_0QZ96uQqNsR7_kj69WAUlg7xlBP-GdOU--BvlcwNw?e=bcdF7j" TargetMode="External"/><Relationship Id="rId39" Type="http://schemas.openxmlformats.org/officeDocument/2006/relationships/hyperlink" Target="mailto:marcela.sanchez@blend360.com" TargetMode="External"/><Relationship Id="rId286" Type="http://schemas.openxmlformats.org/officeDocument/2006/relationships/hyperlink" Target="mailto:juan.bernal@blend360.com" TargetMode="External"/><Relationship Id="rId451" Type="http://schemas.openxmlformats.org/officeDocument/2006/relationships/hyperlink" Target="../../../:f:/s/NUVU-Proyectos/EtrXyr-pswRGkuo69OJZmrcBhlhRprp0kzeYaY7HTr3hxw?e=qiRUjY" TargetMode="External"/><Relationship Id="rId493" Type="http://schemas.openxmlformats.org/officeDocument/2006/relationships/hyperlink" Target="../../NUVU-Comercial/Shared%20Documents/Forms/AllItems.aspx?id=%2Fsites%2FNUVU%2DComercial%2FShared%20Documents%2FU%2FUniversidad%20Nacional%20de%20Colombia%2F2025%2F01%2E%20Acuerdo%20Marco%2FAcuerdo%20y%20Adiciones%2FOSES%2FDivisi%C3%B3n%20Extensi%C3%B3n&amp;p=true&amp;CT=1745948383954&amp;OR=OWA%2DNT%2DMail&amp;CID=d414a553%2Dbfe1%2D99ba%2D35a5%2D68e74f7f74f3&amp;ga=1" TargetMode="External"/><Relationship Id="rId507" Type="http://schemas.openxmlformats.org/officeDocument/2006/relationships/hyperlink" Target="../../../:f:/s/NUVU-Legal/IgCM47sl4OKZQZXdgdJHSLOSAQOpWLsfn53MGNu6FlV6t1I?e=vEFqPi" TargetMode="External"/><Relationship Id="rId549" Type="http://schemas.openxmlformats.org/officeDocument/2006/relationships/hyperlink" Target="mailto:carlos.sierra@blend360.com" TargetMode="External"/><Relationship Id="rId50" Type="http://schemas.openxmlformats.org/officeDocument/2006/relationships/hyperlink" Target="mailto:alejandra.gomez@blend360.com" TargetMode="External"/><Relationship Id="rId104" Type="http://schemas.openxmlformats.org/officeDocument/2006/relationships/hyperlink" Target="mailto:moises.rojas@blend360.com" TargetMode="External"/><Relationship Id="rId146" Type="http://schemas.openxmlformats.org/officeDocument/2006/relationships/hyperlink" Target="mailto:nicolas.revollo@blend360.com" TargetMode="External"/><Relationship Id="rId188" Type="http://schemas.openxmlformats.org/officeDocument/2006/relationships/hyperlink" Target="https://drive.google.com/drive/folders/1S6F4S4Z3RYSYXE5GL-pnR23zYwHbeLJJ" TargetMode="External"/><Relationship Id="rId311" Type="http://schemas.openxmlformats.org/officeDocument/2006/relationships/hyperlink" Target="mailto:ciliana.capera@blend360.com" TargetMode="External"/><Relationship Id="rId353" Type="http://schemas.openxmlformats.org/officeDocument/2006/relationships/hyperlink" Target="mailto:alejandra.gomez@blend360.com" TargetMode="External"/><Relationship Id="rId395" Type="http://schemas.openxmlformats.org/officeDocument/2006/relationships/hyperlink" Target="../../../:f:/s/NUVU-Proyectos/EqWGrwdJfitKpRcrg5ic8J8BWNv4ip3WQ5y9SQ44bBLhkg?e=peeMJC" TargetMode="External"/><Relationship Id="rId409" Type="http://schemas.openxmlformats.org/officeDocument/2006/relationships/hyperlink" Target="../../../:f:/s/NUVU-Proyectos/Ej--cVMKMsFDgfNmUgDGOkkBEC6Ztt7Z_R5FkPp4LTA0kw?e=y858hW" TargetMode="External"/><Relationship Id="rId560" Type="http://schemas.openxmlformats.org/officeDocument/2006/relationships/hyperlink" Target="mailto:carlos.sierra@blend360.com" TargetMode="External"/><Relationship Id="rId92" Type="http://schemas.openxmlformats.org/officeDocument/2006/relationships/hyperlink" Target="mailto:marcela.sanchez@blend360.com" TargetMode="External"/><Relationship Id="rId213" Type="http://schemas.openxmlformats.org/officeDocument/2006/relationships/hyperlink" Target="mailto:karen.arandia@nuvu.cc" TargetMode="External"/><Relationship Id="rId420" Type="http://schemas.openxmlformats.org/officeDocument/2006/relationships/hyperlink" Target="../../NUVU-Proyectos/Shared%20Documents/Forms/AllItems.aspx?id=%2Fsites%2FNUVU%2DProyectos%2FShared%20Documents%2FA%2FADRES%2F%5BP2294%5D%20%2D%20ADR%20%2D%20MVP%20auditorias%2F00%20Administrativos%2FHabilitadores&amp;viewid=1dd39751%2D8a05%2D4043%2D9a9c%2D470bed0d9f3c" TargetMode="External"/><Relationship Id="rId616" Type="http://schemas.openxmlformats.org/officeDocument/2006/relationships/hyperlink" Target="../../../:b:/s/NUVU-Proyectos/IQC01iv30o1cQKNN4ZwjJ7n1AasLMGxE8NB64BWpHAPOi98?e=CccexS" TargetMode="External"/><Relationship Id="rId255" Type="http://schemas.openxmlformats.org/officeDocument/2006/relationships/hyperlink" Target="../../../:p:/r/sites/NUVU-Proyectos/_layouts/15/Doc.aspx?sourcedoc=%7B53A53B99-3747-48B5-A8BC-8DEF2426CC41%7D&amp;file=Kickoff%20CSJ%20-%20MVP%20Digitalizaci%C3%B3n%20archivo%20fisico%20Bogot%C3%A1%20-%20Copia.pptx&amp;action=edit&amp;mobileredirect=true" TargetMode="External"/><Relationship Id="rId297" Type="http://schemas.openxmlformats.org/officeDocument/2006/relationships/hyperlink" Target="mailto:nicolas.revollo@blend360.com" TargetMode="External"/><Relationship Id="rId462" Type="http://schemas.openxmlformats.org/officeDocument/2006/relationships/hyperlink" Target="../../../:f:/s/NUVU-Proyectos/IgB68qsaCLmSTrDbWkqZnqTyATfJueQdJLBQJMSDu3B8TqE?e=Q3pHjW" TargetMode="External"/><Relationship Id="rId518" Type="http://schemas.openxmlformats.org/officeDocument/2006/relationships/hyperlink" Target="../../../:f:/s/NUVU-Proyectos/En6SRDZPljZMm6Bf8FjWEYsBHMnGmGQW9m51yCMebHJKaw?e=BnddNS" TargetMode="External"/><Relationship Id="rId115" Type="http://schemas.openxmlformats.org/officeDocument/2006/relationships/hyperlink" Target="mailto:moises.rojas@blend360.com" TargetMode="External"/><Relationship Id="rId157" Type="http://schemas.openxmlformats.org/officeDocument/2006/relationships/hyperlink" Target="mailto:alejandra.gomez@blend360.com" TargetMode="External"/><Relationship Id="rId322" Type="http://schemas.openxmlformats.org/officeDocument/2006/relationships/hyperlink" Target="mailto:juan.bernal@blend360.com" TargetMode="External"/><Relationship Id="rId364" Type="http://schemas.openxmlformats.org/officeDocument/2006/relationships/hyperlink" Target="mailto:karen.arandia@nuvu.cc" TargetMode="External"/><Relationship Id="rId61" Type="http://schemas.openxmlformats.org/officeDocument/2006/relationships/hyperlink" Target="mailto:daniela.munoz@blend360.com" TargetMode="External"/><Relationship Id="rId199" Type="http://schemas.openxmlformats.org/officeDocument/2006/relationships/hyperlink" Target="mailto:karen.arandia@nuvu.cc" TargetMode="External"/><Relationship Id="rId571" Type="http://schemas.openxmlformats.org/officeDocument/2006/relationships/hyperlink" Target="https://drive.google.com/drive/folders/1UNcH56qEzA3glUcZdKySM8FFMjZhJbDM" TargetMode="External"/><Relationship Id="rId627" Type="http://schemas.openxmlformats.org/officeDocument/2006/relationships/hyperlink" Target="https://wgcp.sharepoint.com0/" TargetMode="External"/><Relationship Id="rId19" Type="http://schemas.openxmlformats.org/officeDocument/2006/relationships/hyperlink" Target="https://drive.google.com/file/d/1oxnAykqT43fRE8vx7MGU8Gags68IOxYR/view?usp=drive_link" TargetMode="External"/><Relationship Id="rId224" Type="http://schemas.openxmlformats.org/officeDocument/2006/relationships/hyperlink" Target="mailto:ciliana.capera@blend360.com" TargetMode="External"/><Relationship Id="rId266" Type="http://schemas.openxmlformats.org/officeDocument/2006/relationships/hyperlink" Target="mailto:ciliana.capera@blend360.com" TargetMode="External"/><Relationship Id="rId431" Type="http://schemas.openxmlformats.org/officeDocument/2006/relationships/hyperlink" Target="../../NUVU-Proyectos/Shared%20Documents/Forms/AllItems.aspx?id=%2Fsites%2FNUVU%2DProyectos%2FShared%20Documents%2FU%2FUniversidad%20Nacional%2FOSES%202025%2F%5BP0294%5D%20Regal%C3%ADas%20Sike%2F00%2E%20Administrativos&amp;newTargetListUrl=%2Fsites%2FNUVU%2DProyectos%2FShared%20Documents&amp;viewpath=%2Fsites%2FNUVU%2DProyectos%2FShared%20Documents%2FForms%2FAllItems%2Easpx" TargetMode="External"/><Relationship Id="rId473" Type="http://schemas.openxmlformats.org/officeDocument/2006/relationships/hyperlink" Target="../../NUVU-Comercial/Shared%20Documents/Forms/AllItems.aspx?id=%2Fsites%2FNUVU%2DComercial%2FShared%20Documents%2FI%2FICFES%20%2D%20Instituto%20Colombiano%20para%20la%20Evaluaci%C3%B3n%20de%20la%20Educaci%C3%B3n%2F2025%2FRenovaci%C3%B3n%20Datalake%202025%20Fase%202%2FArtefactos%20finales%20icfes%20Datalake%20Nov%202025%20%2D%20Ene%202026&amp;viewid=1dd39751%2D8a05%2D4043%2D9a9c%2D470bed0d9f3c&amp;newTargetListUrl=%2Fsites%2FNUVU%2DComercial%2FShared%20Documents&amp;viewpath=%2Fsites%2FNUVU%2DComercial%2FShared%20Documents%2FForms%2FAllItems%2Easpx" TargetMode="External"/><Relationship Id="rId529" Type="http://schemas.openxmlformats.org/officeDocument/2006/relationships/hyperlink" Target="mailto:juan.bernal@blend360.com" TargetMode="External"/><Relationship Id="rId30" Type="http://schemas.openxmlformats.org/officeDocument/2006/relationships/hyperlink" Target="https://drive.google.com/drive/folders/1FAB2qA1eabH2i7dPglxBnOPRguVUXbh6" TargetMode="External"/><Relationship Id="rId126" Type="http://schemas.openxmlformats.org/officeDocument/2006/relationships/hyperlink" Target="../../../:p:/r/sites/NUVU-Proyectos/_layouts/15/Doc.aspx?sourcedoc=%7B53A53B99-3747-48B5-A8BC-8DEF2426CC41%7D&amp;file=Kickoff%20CSJ%20-%20MVP%20Digitalizaci%C3%B3n%20archivo%20fisico%20Bogot%C3%A1%20-%20Copia.pptx&amp;action=edit&amp;mobileredirect=true" TargetMode="External"/><Relationship Id="rId168" Type="http://schemas.openxmlformats.org/officeDocument/2006/relationships/hyperlink" Target="mailto:alejandra.gomez@blend360.com" TargetMode="External"/><Relationship Id="rId333" Type="http://schemas.openxmlformats.org/officeDocument/2006/relationships/hyperlink" Target="mailto:daniela.munoz@blend360.com" TargetMode="External"/><Relationship Id="rId540" Type="http://schemas.openxmlformats.org/officeDocument/2006/relationships/hyperlink" Target="mailto:carlos.sierra@blend360.com" TargetMode="External"/><Relationship Id="rId72" Type="http://schemas.openxmlformats.org/officeDocument/2006/relationships/hyperlink" Target="mailto:nicolas.revollo@blend360.com" TargetMode="External"/><Relationship Id="rId375" Type="http://schemas.openxmlformats.org/officeDocument/2006/relationships/hyperlink" Target="../../../:f:/s/NUVU-Proyectos/Ei9M587w-jdMtM8LCqlbNI0BCcmVLPz51nTL0AlciKRu-A?e=5QpWoj" TargetMode="External"/><Relationship Id="rId582" Type="http://schemas.openxmlformats.org/officeDocument/2006/relationships/hyperlink" Target="mailto:carolina.aleman@blend360.com" TargetMode="External"/><Relationship Id="rId638" Type="http://schemas.openxmlformats.org/officeDocument/2006/relationships/hyperlink" Target="../../../:b:/s/NUVU-Proyectos/IQB2X9COMsg3SZBdZJAdyVqoAd9jLHnp7ipZV-a-PGd6ODI?e=LZZ6P2" TargetMode="External"/><Relationship Id="rId3" Type="http://schemas.openxmlformats.org/officeDocument/2006/relationships/hyperlink" Target="https://drive.google.com/drive/folders/1gkCNndZy0GmWqWmlDN4A-bMntclADHib" TargetMode="External"/><Relationship Id="rId235" Type="http://schemas.openxmlformats.org/officeDocument/2006/relationships/hyperlink" Target="mailto:marcela.sanchez@blend360.com" TargetMode="External"/><Relationship Id="rId277" Type="http://schemas.openxmlformats.org/officeDocument/2006/relationships/hyperlink" Target="mailto:alejandra.gomez@blend360.com" TargetMode="External"/><Relationship Id="rId400" Type="http://schemas.openxmlformats.org/officeDocument/2006/relationships/hyperlink" Target="../../../:f:/s/NUVU-Proyectos/EiWr1Td-njlKokzAyHhTpqMBFxRhCvD9tWugCvDEmAXnng?e=YYmWWz" TargetMode="External"/><Relationship Id="rId442" Type="http://schemas.openxmlformats.org/officeDocument/2006/relationships/hyperlink" Target="../../NUVU-Proyectos/Shared%20Documents/Forms/AllItems.aspx?id=%2Fsites%2FNUVU%2DProyectos%2FShared%20Documents%2FU%2FUniversidad%20Nacional%2FOSES%202025%2F%5BP0340%5D%20Facultad%20de%20Ingenier%C3%ADa%2F00%2E%20Administrativos&amp;viewid=1dd39751%2D8a05%2D4043%2D9a9c%2D470bed0d9f3c&amp;newTargetListUrl=%2Fsites%2FNUVU%2DProyectos%2FShared%20Documents&amp;viewpath=%2Fsites%2FNUVU%2DProyectos%2FShared%20Documents%2FForms%2FAllItems%2Easpx" TargetMode="External"/><Relationship Id="rId484" Type="http://schemas.openxmlformats.org/officeDocument/2006/relationships/hyperlink" Target="../../NUVU-Proyectos/Shared%20Documents/Forms/AllItems.aspx?id=%2Fsites%2FNUVU%2DProyectos%2FShared%20Documents%2FU%2FUniversidad%20Nacional%2FOSES%202025%2F%5BP0356%5D%20Facultad%20de%20Derecho%2F00%2E%20Administrativos&amp;viewid=1dd39751%2D8a05%2D4043%2D9a9c%2D470bed0d9f3c&amp;newTargetListUrl=%2Fsites%2FNUVU%2DProyectos%2FShared%20Documents&amp;viewpath=%2Fsites%2FNUVU%2DProyectos%2FShared%20Documents%2FForms%2FAllItems%2Easpx" TargetMode="External"/><Relationship Id="rId137" Type="http://schemas.openxmlformats.org/officeDocument/2006/relationships/hyperlink" Target="../../NUVU-Comercial/Shared%20Documents/Forms/AllItems.aspx?id=%2Fsites%2FNUVU%2DComercial%2FShared%20Documents%2FU%2FUniversidad%20Nacional%20de%20Colombia%2F2025%2F01%2E%20Acuerdo%20Marco%2FAcuerdo%20y%20Adiciones%2FOSES%2FAdmisiones%2FVigencia%202025&amp;p=true&amp;CT=1745948089654&amp;OR=OWA%2DNT%2DMail&amp;CID=90e30285%2De5da%2D16c0%2D02eb%2D47d1b66bc463&amp;ga=1" TargetMode="External"/><Relationship Id="rId302" Type="http://schemas.openxmlformats.org/officeDocument/2006/relationships/hyperlink" Target="https://drive.google.com/drive/folders/1X4iELvATSIXxv9fAYa9XJVZ8gAnjLE8l" TargetMode="External"/><Relationship Id="rId344" Type="http://schemas.openxmlformats.org/officeDocument/2006/relationships/hyperlink" Target="mailto:ciliana.capera@blend360.com" TargetMode="External"/><Relationship Id="rId41" Type="http://schemas.openxmlformats.org/officeDocument/2006/relationships/hyperlink" Target="mailto:carolina.aleman@blend360.com" TargetMode="External"/><Relationship Id="rId83" Type="http://schemas.openxmlformats.org/officeDocument/2006/relationships/hyperlink" Target="mailto:juan.bernal@blend360.com" TargetMode="External"/><Relationship Id="rId179" Type="http://schemas.openxmlformats.org/officeDocument/2006/relationships/hyperlink" Target="https://drive.google.com/drive/u/0/folders/1MGBfD6Vh5uYbROYUHEcdv1tOwFqXfkxx" TargetMode="External"/><Relationship Id="rId386" Type="http://schemas.openxmlformats.org/officeDocument/2006/relationships/hyperlink" Target="../../../:f:/s/NUVU-Proyectos/EkdbNixGBDtHtvqh1caU3VoB1bCkVnQr2AWWtKe3WST_gg?e=yGIcRa" TargetMode="External"/><Relationship Id="rId551" Type="http://schemas.openxmlformats.org/officeDocument/2006/relationships/hyperlink" Target="mailto:carlos.sierra@blend360.com" TargetMode="External"/><Relationship Id="rId593" Type="http://schemas.openxmlformats.org/officeDocument/2006/relationships/hyperlink" Target="../../../:b:/s/NUVU-Proyectos/IQAP1TBPM6hSVGMEsMx_rBvKARkGEM59vMKi0MPadMcsfFA?e=8oNRP9" TargetMode="External"/><Relationship Id="rId607" Type="http://schemas.openxmlformats.org/officeDocument/2006/relationships/hyperlink" Target="https://wgcp.sharepoint.com0/" TargetMode="External"/><Relationship Id="rId649" Type="http://schemas.openxmlformats.org/officeDocument/2006/relationships/hyperlink" Target="../../../:b:/s/NUVU-Proyectos/IQA3JVLMDMI8QqWre8V17GfNAaQBjuSBpiL0u7cVuHWuOTU?e=hzHYcE" TargetMode="External"/><Relationship Id="rId190" Type="http://schemas.openxmlformats.org/officeDocument/2006/relationships/hyperlink" Target="mailto:alejandra.gomez@blend360.com" TargetMode="External"/><Relationship Id="rId204" Type="http://schemas.openxmlformats.org/officeDocument/2006/relationships/hyperlink" Target="mailto:karen.arandia@nuvu.cc" TargetMode="External"/><Relationship Id="rId246" Type="http://schemas.openxmlformats.org/officeDocument/2006/relationships/hyperlink" Target="mailto:marcela.sanchez@blend360.com" TargetMode="External"/><Relationship Id="rId288" Type="http://schemas.openxmlformats.org/officeDocument/2006/relationships/hyperlink" Target="https://drive.google.com/drive/u/0/folders/1YzbrEvndEMrjKCjzwbzOxFfgee0BpVw2" TargetMode="External"/><Relationship Id="rId411" Type="http://schemas.openxmlformats.org/officeDocument/2006/relationships/hyperlink" Target="../../NUVU-Proyectos/Shared%20Documents/Forms/AllItems.aspx?id=%2Fsites%2FNUVU%2DProyectos%2FShared%20Documents%2FM%2FMintic%2F%5BP0316%5D%20MTI%20%2D%20Ciudades%20y%20territorios%20inteligentes%20Mintic%2F01%2E%20Documentaci%C3%B3n%20esencial%2F01%2E%20Habilitacion&amp;viewid=1dd39751%2D8a05%2D4043%2D9a9c%2D470bed0d9f3c" TargetMode="External"/><Relationship Id="rId453" Type="http://schemas.openxmlformats.org/officeDocument/2006/relationships/hyperlink" Target="../../../:f:/s/NUVU-Proyectos/EtrXyr-pswRGkuo69OJZmrcBhlhRprp0kzeYaY7HTr3hxw?e=qiRUjY" TargetMode="External"/><Relationship Id="rId509" Type="http://schemas.openxmlformats.org/officeDocument/2006/relationships/hyperlink" Target="mailto:juan.bernal@blend360.com" TargetMode="External"/><Relationship Id="rId106" Type="http://schemas.openxmlformats.org/officeDocument/2006/relationships/hyperlink" Target="mailto:karen.arandia@nuvu.cc" TargetMode="External"/><Relationship Id="rId313" Type="http://schemas.openxmlformats.org/officeDocument/2006/relationships/hyperlink" Target="mailto:juan.bernal@blend360.com" TargetMode="External"/><Relationship Id="rId495" Type="http://schemas.openxmlformats.org/officeDocument/2006/relationships/hyperlink" Target="../../../:f:/s/NUVU-Comercial/IgAZcoHJVCWgQbsHaxwFVBU_AeLRtKCDpDAiMuGkcStHcPE?e=UnAK1p" TargetMode="External"/><Relationship Id="rId10" Type="http://schemas.openxmlformats.org/officeDocument/2006/relationships/hyperlink" Target="https://drive.google.com/file/d/1G3ikULRuvxHfqObVTTP4OO1KjFUMGpxK/view?usp=share_link" TargetMode="External"/><Relationship Id="rId52" Type="http://schemas.openxmlformats.org/officeDocument/2006/relationships/hyperlink" Target="mailto:alejandra.gomez@blend360.com" TargetMode="External"/><Relationship Id="rId94" Type="http://schemas.openxmlformats.org/officeDocument/2006/relationships/hyperlink" Target="mailto:alejandra.gomez@blend360.com" TargetMode="External"/><Relationship Id="rId148" Type="http://schemas.openxmlformats.org/officeDocument/2006/relationships/hyperlink" Target="mailto:alejandra.gomez@blend360.com" TargetMode="External"/><Relationship Id="rId355" Type="http://schemas.openxmlformats.org/officeDocument/2006/relationships/hyperlink" Target="https://drive.google.com/drive/folders/1S6F4S4Z3RYSYXE5GL-pnR23zYwHbeLJJ" TargetMode="External"/><Relationship Id="rId397" Type="http://schemas.openxmlformats.org/officeDocument/2006/relationships/hyperlink" Target="../../../:f:/s/NUVU-Proyectos/EiCnNFJ67bROuHakFCO5me4BgfAJNoFp2flEdCRaL8qwEA?e=DXfqTj" TargetMode="External"/><Relationship Id="rId520" Type="http://schemas.openxmlformats.org/officeDocument/2006/relationships/hyperlink" Target="../../../:f:/s/NUVU-Proyectos/En6SRDZPljZMm6Bf8FjWEYsBHMnGmGQW9m51yCMebHJKaw?e=BnddNS" TargetMode="External"/><Relationship Id="rId562" Type="http://schemas.openxmlformats.org/officeDocument/2006/relationships/hyperlink" Target="mailto:carlos.sierra@blend360.com" TargetMode="External"/><Relationship Id="rId618" Type="http://schemas.openxmlformats.org/officeDocument/2006/relationships/hyperlink" Target="../../../:b:/s/NUVU-Proyectos/IQCOjR1TlxgXRIKacgMieZNLAbFK799LmSHxwzdhvXRRlOs?e=ocf5tn" TargetMode="External"/><Relationship Id="rId215" Type="http://schemas.openxmlformats.org/officeDocument/2006/relationships/hyperlink" Target="https://drive.google.com/drive/u/0/folders/113jIx4Sscgye7QpsmyJJ_tjK1rALFHfT" TargetMode="External"/><Relationship Id="rId257" Type="http://schemas.openxmlformats.org/officeDocument/2006/relationships/hyperlink" Target="mailto:karen.arandia@nuvu.cc" TargetMode="External"/><Relationship Id="rId422" Type="http://schemas.openxmlformats.org/officeDocument/2006/relationships/hyperlink" Target="../../NUVU-Proyectos/Shared%20Documents/Forms/AllItems.aspx?id=%2Fsites%2FNUVU%2DProyectos%2FShared%20Documents%2FU%2FUniversidad%20Nacional%2FOSES%202025%2F%5BP0298%5D%20Fortinet%2F00%2E%20Administrativos&amp;viewid=1dd39751%2D8a05%2D4043%2D9a9c%2D470bed0d9f3c" TargetMode="External"/><Relationship Id="rId464" Type="http://schemas.openxmlformats.org/officeDocument/2006/relationships/hyperlink" Target="https://francisco.rosas@blend360.com/" TargetMode="External"/><Relationship Id="rId299" Type="http://schemas.openxmlformats.org/officeDocument/2006/relationships/hyperlink" Target="mailto:nicolas.revollo@blend360.com" TargetMode="External"/><Relationship Id="rId63" Type="http://schemas.openxmlformats.org/officeDocument/2006/relationships/hyperlink" Target="mailto:alejandra.gomez@blend360.com" TargetMode="External"/><Relationship Id="rId159" Type="http://schemas.openxmlformats.org/officeDocument/2006/relationships/hyperlink" Target="mailto:alejandra.gomez@blend360.com" TargetMode="External"/><Relationship Id="rId366" Type="http://schemas.openxmlformats.org/officeDocument/2006/relationships/hyperlink" Target="mailto:karen.arandia@nuvu.cc" TargetMode="External"/><Relationship Id="rId573" Type="http://schemas.openxmlformats.org/officeDocument/2006/relationships/hyperlink" Target="mailto:alejandra.gomez@blend360.com" TargetMode="External"/><Relationship Id="rId226" Type="http://schemas.openxmlformats.org/officeDocument/2006/relationships/hyperlink" Target="mailto:nicolas.revollo@blend360.com" TargetMode="External"/><Relationship Id="rId433" Type="http://schemas.openxmlformats.org/officeDocument/2006/relationships/hyperlink" Target="../../NUVU-Proyectos/Shared%20Documents/Forms/AllItems.aspx?id=%2Fsites%2FNUVU%2DProyectos%2FShared%20Documents%2FU%2FUniversidad%20Nacional%2FOSES%202025%2F%5BP0350%5D%20Facultad%20Derecho%20Concurso%20de%20M%C3%A9ritos%2F00%2E%20Administrativos&amp;newTargetListUrl=%2Fsites%2FNUVU%2DProyectos%2FShared%20Documents&amp;viewpath=%2Fsites%2FNUVU%2DProyectos%2FShared%20Documents%2FForms%2FAllItems%2Easpx" TargetMode="External"/><Relationship Id="rId640" Type="http://schemas.openxmlformats.org/officeDocument/2006/relationships/hyperlink" Target="../../../:b:/s/NUVU-Proyectos/IQCCwrTkGksXSbLTxJjBNb9vAemEaQrJYCnQyQNzVjebRPM?e=dNTXwP" TargetMode="External"/><Relationship Id="rId74" Type="http://schemas.openxmlformats.org/officeDocument/2006/relationships/hyperlink" Target="mailto:nicolas.revollo@blend360.com" TargetMode="External"/><Relationship Id="rId377" Type="http://schemas.openxmlformats.org/officeDocument/2006/relationships/hyperlink" Target="../../../:f:/s/NUVU-Proyectos/EiJdzSA4HltFqJ8p9tP-M5EB3RGFsxF59076xJ188xTIGQ?e=fvfpam" TargetMode="External"/><Relationship Id="rId500" Type="http://schemas.openxmlformats.org/officeDocument/2006/relationships/hyperlink" Target="../../../:f:/s/NUVU-Proyectos/IgBOWFrTqLDARrme81PpHSdVAXDmWoeZHaZ8NMomRp30VBc?e=JaYCEO" TargetMode="External"/><Relationship Id="rId584" Type="http://schemas.openxmlformats.org/officeDocument/2006/relationships/hyperlink" Target="mailto:carlos.sierra@blend360.com" TargetMode="External"/><Relationship Id="rId5" Type="http://schemas.openxmlformats.org/officeDocument/2006/relationships/hyperlink" Target="https://drive.google.com/drive/folders/1sdW0FYXEG8aHZz_NSGac206Hyyx6SshR" TargetMode="External"/><Relationship Id="rId237" Type="http://schemas.openxmlformats.org/officeDocument/2006/relationships/hyperlink" Target="mailto:juan.bernal@blend360.com" TargetMode="External"/><Relationship Id="rId444" Type="http://schemas.openxmlformats.org/officeDocument/2006/relationships/hyperlink" Target="../../NUVU-Proyectos/Shared%20Documents/Forms/AllItems.aspx?id=%2Fsites%2FNUVU%2DProyectos%2FShared%20Documents%2FU%2FUniversidad%20Nacional%2FOSES%202025%2F%5BP0373%5D%20UNA%20OSE%203%20Secretar%C3%ADa%20General%2F00%2E%20Administrativos&amp;viewid=1dd39751%2D8a05%2D4043%2D9a9c%2D470bed0d9f3c&amp;newTargetListUrl=%2Fsites%2FNUVU%2DProyectos%2FShared%20Documents&amp;viewpath=%2Fsites%2FNUVU%2DProyectos%2FShared%20Documents%2FForms%2FAllItems%2Easpx" TargetMode="External"/><Relationship Id="rId651" Type="http://schemas.openxmlformats.org/officeDocument/2006/relationships/hyperlink" Target="../../../:b:/s/NUVU-Proyectos/IQBlrnG99xgjRI7d8lnEMrwUAdPp1jLiQtXhdGM9-_248KA?e=sUurxP" TargetMode="External"/><Relationship Id="rId290" Type="http://schemas.openxmlformats.org/officeDocument/2006/relationships/hyperlink" Target="mailto:marcela.sanchez@blend360.com" TargetMode="External"/><Relationship Id="rId304" Type="http://schemas.openxmlformats.org/officeDocument/2006/relationships/hyperlink" Target="https://drive.google.com/drive/folders/1X4iELvATSIXxv9fAYa9XJVZ8gAnjLE8l" TargetMode="External"/><Relationship Id="rId388" Type="http://schemas.openxmlformats.org/officeDocument/2006/relationships/hyperlink" Target="../../../:f:/s/NUVU-Proyectos/EkUx4UXQQF9Gmbgqp99OYCEBqiVIYCBOlTO90Rroq8ZAEA?e=m57kbk" TargetMode="External"/><Relationship Id="rId511" Type="http://schemas.openxmlformats.org/officeDocument/2006/relationships/hyperlink" Target="mailto:juan.zambrano@blend360.com" TargetMode="External"/><Relationship Id="rId609" Type="http://schemas.openxmlformats.org/officeDocument/2006/relationships/hyperlink" Target="../../../:b:/s/NUVU-Proyectos/IQAS_CUjms1cU1B-YPPgYqMBAcu3G3Wrw6gNMmM_M5Y27a0?e=O0w4aL" TargetMode="External"/><Relationship Id="rId85" Type="http://schemas.openxmlformats.org/officeDocument/2006/relationships/hyperlink" Target="mailto:juan.bernal@blend360.com" TargetMode="External"/><Relationship Id="rId150" Type="http://schemas.openxmlformats.org/officeDocument/2006/relationships/hyperlink" Target="mailto:karen.arandia@nuvu.cc" TargetMode="External"/><Relationship Id="rId595" Type="http://schemas.openxmlformats.org/officeDocument/2006/relationships/hyperlink" Target="../../../:w:/s/NUVU-Proyectos/IQD8s5ktUNikRLk4GMo49Km0AekiRfos7HYCOsyepuW6dgA?e=RFtJov" TargetMode="External"/><Relationship Id="rId248" Type="http://schemas.openxmlformats.org/officeDocument/2006/relationships/hyperlink" Target="../../NUVU-Proyectos/Shared%20Documents/Forms/AllItems.aspx?id=%2Fsites%2FNUVU%2DProyectos%2FShared%20Documents%2FP%2FPolic%C3%ADa%20Nacional%2F2025%2F%5BP0347%5D%20%2D%20PON%20%2D%20IAPOL%2DG%20%2D%20IA%20Generativa&amp;viewid=1dd39751%2D8a05%2D4043%2D9a9c%2D470bed0d9f3c" TargetMode="External"/><Relationship Id="rId455" Type="http://schemas.openxmlformats.org/officeDocument/2006/relationships/hyperlink" Target="../../../:f:/s/NUVU-Proyectos/EtrXyr-pswRGkuo69OJZmrcBhlhRprp0kzeYaY7HTr3hxw?e=qiRUjY" TargetMode="External"/><Relationship Id="rId12" Type="http://schemas.openxmlformats.org/officeDocument/2006/relationships/hyperlink" Target="../../../:f:/s/NUVU-Proyectos/EoNI9P5DzfVHjFQpiIhzjE8BrhKFG52YGxRiq31uMPkinA?e=75Skm5" TargetMode="External"/><Relationship Id="rId108" Type="http://schemas.openxmlformats.org/officeDocument/2006/relationships/hyperlink" Target="mailto:moises.rojas@blend360.com" TargetMode="External"/><Relationship Id="rId315" Type="http://schemas.openxmlformats.org/officeDocument/2006/relationships/hyperlink" Target="mailto:moises.rojas@blend360.com" TargetMode="External"/><Relationship Id="rId522" Type="http://schemas.openxmlformats.org/officeDocument/2006/relationships/hyperlink" Target="mailto:alejandra.gomez@blend360.com" TargetMode="External"/><Relationship Id="rId96" Type="http://schemas.openxmlformats.org/officeDocument/2006/relationships/hyperlink" Target="mailto:karen.arandia@nuvu.cc" TargetMode="External"/><Relationship Id="rId161" Type="http://schemas.openxmlformats.org/officeDocument/2006/relationships/hyperlink" Target="https://drive.google.com/drive/u/0/folders/1MGBfD6Vh5uYbROYUHEcdv1tOwFqXfkxx" TargetMode="External"/><Relationship Id="rId399" Type="http://schemas.openxmlformats.org/officeDocument/2006/relationships/hyperlink" Target="../../../:f:/s/NUVU-Proyectos/EkTfHxkHPglGiBhmWIgQilIBxvvbqsSGQeMj-_pNdcPi7Q?e=C2c0JS" TargetMode="External"/><Relationship Id="rId259" Type="http://schemas.openxmlformats.org/officeDocument/2006/relationships/hyperlink" Target="mailto:karen.arandia@nuvu.cc" TargetMode="External"/><Relationship Id="rId466" Type="http://schemas.openxmlformats.org/officeDocument/2006/relationships/hyperlink" Target="mailto:alejandra.gomez@blend360.com" TargetMode="External"/><Relationship Id="rId23" Type="http://schemas.openxmlformats.org/officeDocument/2006/relationships/hyperlink" Target="https://drive.google.com/drive/folders/1UNcH56qEzA3glUcZdKySM8FFMjZhJbDM" TargetMode="External"/><Relationship Id="rId119" Type="http://schemas.openxmlformats.org/officeDocument/2006/relationships/hyperlink" Target="mailto:karen.arandia@nuvu.cc" TargetMode="External"/><Relationship Id="rId326" Type="http://schemas.openxmlformats.org/officeDocument/2006/relationships/hyperlink" Target="https://drive.google.com/drive/u/0/folders/113jIx4Sscgye7QpsmyJJ_tjK1rALFHfT" TargetMode="External"/><Relationship Id="rId533" Type="http://schemas.openxmlformats.org/officeDocument/2006/relationships/hyperlink" Target="mailto:carlos.sierra@blend360.com" TargetMode="External"/><Relationship Id="rId172" Type="http://schemas.openxmlformats.org/officeDocument/2006/relationships/hyperlink" Target="https://drive.google.com/file/d/1WwhsK86PyM0sKPlvQ7Bc7xzU6D_JqaMx/view?usp=drive_link" TargetMode="External"/><Relationship Id="rId477" Type="http://schemas.openxmlformats.org/officeDocument/2006/relationships/hyperlink" Target="../../../:f:/s/NUVU-Proyectos/IgCGgam-rW6mQZ5SaKrRD3i3AdgcxcwVsQBFW6GBO3r-Uo0?e=aSL6Hq" TargetMode="External"/><Relationship Id="rId600" Type="http://schemas.openxmlformats.org/officeDocument/2006/relationships/hyperlink" Target="https://wgcp.sharepoint.com0/" TargetMode="External"/><Relationship Id="rId337" Type="http://schemas.openxmlformats.org/officeDocument/2006/relationships/hyperlink" Target="mailto:nicolas.revollo@blend360.com" TargetMode="External"/><Relationship Id="rId34" Type="http://schemas.openxmlformats.org/officeDocument/2006/relationships/hyperlink" Target="https://drive.google.com/drive/folders/1S6F4S4Z3RYSYXE5GL-pnR23zYwHbeLJJ" TargetMode="External"/><Relationship Id="rId544" Type="http://schemas.openxmlformats.org/officeDocument/2006/relationships/hyperlink" Target="mailto:carlos.sierra@blend360.com" TargetMode="External"/><Relationship Id="rId183" Type="http://schemas.openxmlformats.org/officeDocument/2006/relationships/hyperlink" Target="mailto:juan.bernal@blend360.com" TargetMode="External"/><Relationship Id="rId390" Type="http://schemas.openxmlformats.org/officeDocument/2006/relationships/hyperlink" Target="../../../:f:/s/NUVU-Proyectos/EowfoHQKTrhJixTT_ESWEO8B5eNpVzKCENHdN5lpb3nNbg?e=enmDlb" TargetMode="External"/><Relationship Id="rId404" Type="http://schemas.openxmlformats.org/officeDocument/2006/relationships/hyperlink" Target="../../../:f:/s/NUVU-Proyectos/Eld_-ym1ADVBmjaU9T-74OcBKJvKGzGbqoWZx7agDo61qQ?e=fBCVM1" TargetMode="External"/><Relationship Id="rId611" Type="http://schemas.openxmlformats.org/officeDocument/2006/relationships/hyperlink" Target="../../../:b:/s/NUVU-Proyectos/IQDJnsqiNVfpTbccOK-MQ9nYAa9XyfYp_0YM63foO3LfT0M?e=W41JKm" TargetMode="External"/><Relationship Id="rId250" Type="http://schemas.openxmlformats.org/officeDocument/2006/relationships/hyperlink" Target="mailto:nicolas.revollo@blend360.com" TargetMode="External"/><Relationship Id="rId488" Type="http://schemas.openxmlformats.org/officeDocument/2006/relationships/hyperlink" Target="../../NUVU-Proyectos/Shared%20Documents/Forms/AllItems.aspx?id=%2Fsites%2FNUVU%2DProyectos%2FShared%20Documents%2FM%2FMetro%20de%20Medell%C3%ADn%2F%5BP0388%5D%20Servicio%20de%20Dise%C3%B1o%20e%20Implementaci%C3%B3n%20de%20Inteligencia%20de%20Negocios%20y%20Anal%C3%ADtica&amp;viewid=1dd39751%2D8a05%2D4043%2D9a9c%2D470bed0d9f3c" TargetMode="External"/><Relationship Id="rId45" Type="http://schemas.openxmlformats.org/officeDocument/2006/relationships/hyperlink" Target="mailto:alejandra.gomez@blend360.com" TargetMode="External"/><Relationship Id="rId110" Type="http://schemas.openxmlformats.org/officeDocument/2006/relationships/hyperlink" Target="../../NUVU-Proyectos/Shared%20Documents/Forms/AllItems.aspx?id=%2Fsites%2FNUVU%2DProyectos%2FShared%20Documents%2FP%2FPolic%C3%ADa%20Nacional%2F2025%2F%5BP0347%5D%20%2D%20PON%20%2D%20IAPOL%2DG%20%2D%20IA%20Generativa&amp;viewid=1dd39751%2D8a05%2D4043%2D9a9c%2D470bed0d9f3c" TargetMode="External"/><Relationship Id="rId348" Type="http://schemas.openxmlformats.org/officeDocument/2006/relationships/hyperlink" Target="mailto:carolina.aleman@blend360.com" TargetMode="External"/><Relationship Id="rId555" Type="http://schemas.openxmlformats.org/officeDocument/2006/relationships/hyperlink" Target="mailto:carlos.sierra@blend360.com" TargetMode="External"/><Relationship Id="rId194" Type="http://schemas.openxmlformats.org/officeDocument/2006/relationships/hyperlink" Target="mailto:moises.rojas@blend360.com" TargetMode="External"/><Relationship Id="rId208" Type="http://schemas.openxmlformats.org/officeDocument/2006/relationships/hyperlink" Target="mailto:marcela.sanchez@blend360.com" TargetMode="External"/><Relationship Id="rId415" Type="http://schemas.openxmlformats.org/officeDocument/2006/relationships/hyperlink" Target="../../NUVU-Proyectos/Shared%20Documents/Forms/AllItems.aspx?id=%2Fsites%2FNUVU%2DProyectos%2FShared%20Documents%2FC%2FCAT%20%2D%20Catastro%20Distrital%2F%5BP2124%5D%20CAT%20%2D%20Agente%20Cognitivo%20e%20Infraestructura%20AWS%2F01%2E%20Documentaci%C3%B3n%20esencial%2F01%20%2D%20Habilitadores&amp;viewid=1dd39751%2D8a05%2D4043%2D9a9c%2D470bed0d9f3c" TargetMode="External"/><Relationship Id="rId622" Type="http://schemas.openxmlformats.org/officeDocument/2006/relationships/hyperlink" Target="https://wgcp.sharepoint.com0/" TargetMode="External"/><Relationship Id="rId261" Type="http://schemas.openxmlformats.org/officeDocument/2006/relationships/hyperlink" Target="mailto:karen.arandia@nuvu.cc" TargetMode="External"/><Relationship Id="rId499" Type="http://schemas.openxmlformats.org/officeDocument/2006/relationships/hyperlink" Target="../../../:f:/s/NUVU-Proyectos/IgB0VMBRdKu-R6_ijOvi2iOMAXAjSG9P9RmyssH4yPcnqqE?e=2zHYT4" TargetMode="External"/><Relationship Id="rId56" Type="http://schemas.openxmlformats.org/officeDocument/2006/relationships/hyperlink" Target="mailto:alejandra.gomez@blend360.com" TargetMode="External"/><Relationship Id="rId359" Type="http://schemas.openxmlformats.org/officeDocument/2006/relationships/hyperlink" Target="mailto:alejandra.gomez@blend360.com" TargetMode="External"/><Relationship Id="rId566" Type="http://schemas.openxmlformats.org/officeDocument/2006/relationships/hyperlink" Target="mailto:carlos.sierra@blend360.com" TargetMode="External"/><Relationship Id="rId121" Type="http://schemas.openxmlformats.org/officeDocument/2006/relationships/hyperlink" Target="mailto:daniela.munoz@blend360.com" TargetMode="External"/><Relationship Id="rId219" Type="http://schemas.openxmlformats.org/officeDocument/2006/relationships/hyperlink" Target="mailto:karen.arandia@nuvu.cc" TargetMode="External"/><Relationship Id="rId426" Type="http://schemas.openxmlformats.org/officeDocument/2006/relationships/hyperlink" Target="../../NUVU-Proyectos/Shared%20Documents/Forms/AllItems.aspx?id=%2Fsites%2FNUVU%2DProyectos%2FShared%20Documents%2FU%2FUniversidad%20Nacional%2FOSES%202025%2F%5BP0336%5D%20UNA%20Gesti%C3%B3n%20de%20Informaci%C3%B3n%2F00%2E%20Administrativo&amp;viewid=1dd39751%2D8a05%2D4043%2D9a9c%2D470bed0d9f3c" TargetMode="External"/><Relationship Id="rId633" Type="http://schemas.openxmlformats.org/officeDocument/2006/relationships/hyperlink" Target="../../../:b:/s/NUVU-Proyectos/IQC7Roa2N0jGRbglGYzGq2lFAXVdfSuma8Y6dte3AvcoLOQ?e=S9Tz1h" TargetMode="External"/><Relationship Id="rId67" Type="http://schemas.openxmlformats.org/officeDocument/2006/relationships/hyperlink" Target="mailto:nicolas.revollo@blend360.com" TargetMode="External"/><Relationship Id="rId272" Type="http://schemas.openxmlformats.org/officeDocument/2006/relationships/hyperlink" Target="mailto:karen.arandia@nuvu.cc" TargetMode="External"/><Relationship Id="rId577" Type="http://schemas.openxmlformats.org/officeDocument/2006/relationships/hyperlink" Target="../../../:f:/s/NUVU-Proyectos/EtZkwtbPNh5Cj3NjXmYKJP8B2M_5ZjmaYI6FcWEcHUAu4w?e=ijrHfp" TargetMode="External"/><Relationship Id="rId132" Type="http://schemas.openxmlformats.org/officeDocument/2006/relationships/hyperlink" Target="mailto:nicolas.revollo@blend360.com" TargetMode="External"/><Relationship Id="rId437" Type="http://schemas.openxmlformats.org/officeDocument/2006/relationships/hyperlink" Target="../../NUVU-Proyectos/Shared%20Documents/Forms/AllItems.aspx?id=%2Fsites%2FNUVU%2DProyectos%2FShared%20Documents%2FU%2FUniversidad%20Nacional%2FOSES%202025%2F%5BP0360%5D%20Gesti%C3%B3n%20ambiental%2F00%2E%20Administrativos&amp;viewid=1dd39751%2D8a05%2D4043%2D9a9c%2D470bed0d9f3c&amp;newTargetListUrl=%2Fsites%2FNUVU%2DProyectos%2FShared%20Documents&amp;viewpath=%2Fsites%2FNUVU%2DProyectos%2FShared%20Documents%2FForms%2FAllItems%2Easpx" TargetMode="External"/><Relationship Id="rId644" Type="http://schemas.openxmlformats.org/officeDocument/2006/relationships/hyperlink" Target="https://wgcp.sharepoint.com0/" TargetMode="External"/><Relationship Id="rId283" Type="http://schemas.openxmlformats.org/officeDocument/2006/relationships/hyperlink" Target="https://drive.google.com/drive/u/0/folders/1MGBfD6Vh5uYbROYUHEcdv1tOwFqXfkxx" TargetMode="External"/><Relationship Id="rId490" Type="http://schemas.openxmlformats.org/officeDocument/2006/relationships/hyperlink" Target="mailto:alejandra.gomez@blend360.com" TargetMode="External"/><Relationship Id="rId504" Type="http://schemas.openxmlformats.org/officeDocument/2006/relationships/hyperlink" Target="../../../:f:/s/NUVU-Proyectos/IgBkuHyE0GRvTaPHfuwcrbSbAeLKiKNVD_faqLYiTwO3wKQ?e=BdGqmM" TargetMode="External"/><Relationship Id="rId78" Type="http://schemas.openxmlformats.org/officeDocument/2006/relationships/hyperlink" Target="mailto:nicolas.revollo@blend360.com" TargetMode="External"/><Relationship Id="rId143" Type="http://schemas.openxmlformats.org/officeDocument/2006/relationships/hyperlink" Target="mailto:nicolas.revollo@blend360.com" TargetMode="External"/><Relationship Id="rId350" Type="http://schemas.openxmlformats.org/officeDocument/2006/relationships/hyperlink" Target="mailto:carolina.aleman@blend360.com" TargetMode="External"/><Relationship Id="rId588" Type="http://schemas.openxmlformats.org/officeDocument/2006/relationships/hyperlink" Target="mailto:carlos.sierra@blend360.com" TargetMode="External"/><Relationship Id="rId9" Type="http://schemas.openxmlformats.org/officeDocument/2006/relationships/hyperlink" Target="https://drive.google.com/drive/u/0/folders/1nzstt31VgD7ZrV6gn-TihgI4KOzpj6sP" TargetMode="External"/><Relationship Id="rId210" Type="http://schemas.openxmlformats.org/officeDocument/2006/relationships/hyperlink" Target="mailto:juan.bernal@blend360.com" TargetMode="External"/><Relationship Id="rId448" Type="http://schemas.openxmlformats.org/officeDocument/2006/relationships/hyperlink" Target="../../../:b:/s/NUVU-Proyectos/ESkDD27ESSdGle5eFnDtJ48Bp_O_B_J-WKPkH-3pjpL82g?e=pHhc4Z" TargetMode="External"/><Relationship Id="rId655" Type="http://schemas.openxmlformats.org/officeDocument/2006/relationships/comments" Target="../comments2.xml"/><Relationship Id="rId294" Type="http://schemas.openxmlformats.org/officeDocument/2006/relationships/hyperlink" Target="../../NUVU-Proyectos/Shared%20Documents/Forms/AllItems.aspx?id=%2Fsites%2FNUVU%2DProyectos%2FShared%20Documents%2FP%2FPolic%C3%ADa%20Nacional%2F2025%2F%5BP0347%5D%20%2D%20PON%20%2D%20IAPOL%2DG%20%2D%20IA%20Generativa&amp;viewid=1dd39751%2D8a05%2D4043%2D9a9c%2D470bed0d9f3c" TargetMode="External"/><Relationship Id="rId308" Type="http://schemas.openxmlformats.org/officeDocument/2006/relationships/hyperlink" Target="mailto:juan.bernal@blend360.com" TargetMode="External"/><Relationship Id="rId515" Type="http://schemas.openxmlformats.org/officeDocument/2006/relationships/hyperlink" Target="mailto:alejandra.gomez@blend360.com" TargetMode="External"/><Relationship Id="rId89" Type="http://schemas.openxmlformats.org/officeDocument/2006/relationships/hyperlink" Target="mailto:alejandra.gomez@blend360.com" TargetMode="External"/><Relationship Id="rId154" Type="http://schemas.openxmlformats.org/officeDocument/2006/relationships/hyperlink" Target="../../NUVU-Proyectos/Shared%20Documents/Forms/AllItems.aspx?id=%2Fsites%2FNUVU%2DProyectos%2FShared%20Documents%2FU%2FUniversidad%20Nacional&amp;sortField=LinkFilename&amp;isAscending=true&amp;viewid=1dd39751%2D8a05%2D4043%2D9a9c%2D470bed0d9f3c&amp;CT=1747430562325&amp;OR=OWA%2DNT%2DMail&amp;CID=e9f8afa4%2Ddaa0%2Daa3d%2D3c26%2Daceec7c7ca03" TargetMode="External"/><Relationship Id="rId361" Type="http://schemas.openxmlformats.org/officeDocument/2006/relationships/hyperlink" Target="mailto:karen.arandia@nuvu.cc" TargetMode="External"/><Relationship Id="rId599" Type="http://schemas.openxmlformats.org/officeDocument/2006/relationships/hyperlink" Target="https://wgcp.sharepoint.com0/" TargetMode="External"/><Relationship Id="rId459" Type="http://schemas.openxmlformats.org/officeDocument/2006/relationships/hyperlink" Target="mailto:karen.arandia@nuvu.cc" TargetMode="External"/><Relationship Id="rId16" Type="http://schemas.openxmlformats.org/officeDocument/2006/relationships/hyperlink" Target="https://drive.google.com/drive/folders/1zZw5xbWNyOcUCUDlhfco4xaz6OZ7XdXe" TargetMode="External"/><Relationship Id="rId221" Type="http://schemas.openxmlformats.org/officeDocument/2006/relationships/hyperlink" Target="mailto:moises.rojas@blend360.com" TargetMode="External"/><Relationship Id="rId319" Type="http://schemas.openxmlformats.org/officeDocument/2006/relationships/hyperlink" Target="mailto:juan.bernal@blend360.com" TargetMode="External"/><Relationship Id="rId526" Type="http://schemas.openxmlformats.org/officeDocument/2006/relationships/hyperlink" Target="../../../:f:/s/NUVU-Proyectos/IgBKmKbEXdH-TaVySCy8Bx4TAVmHlB0sDBh8G_KMvPkm-fs?e=PCAtkJ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Z284"/>
  <sheetViews>
    <sheetView tabSelected="1" zoomScale="82" zoomScaleNormal="82" workbookViewId="0">
      <selection activeCell="C6" sqref="C6"/>
    </sheetView>
  </sheetViews>
  <sheetFormatPr defaultColWidth="8.85546875" defaultRowHeight="12.75" customHeight="1"/>
  <cols>
    <col min="1" max="1" width="14.7109375" style="22" customWidth="1"/>
    <col min="2" max="2" width="18.28515625" style="4" customWidth="1"/>
    <col min="3" max="3" width="54.140625" style="4" customWidth="1"/>
    <col min="4" max="4" width="25.5703125" style="4" customWidth="1"/>
    <col min="5" max="5" width="13.85546875" style="4" customWidth="1"/>
    <col min="6" max="6" width="11.42578125" style="4" customWidth="1"/>
    <col min="7" max="7" width="14.85546875" style="4" customWidth="1"/>
    <col min="8" max="8" width="13.42578125" style="12" customWidth="1"/>
    <col min="9" max="9" width="12.7109375" style="4" customWidth="1"/>
    <col min="10" max="10" width="16.7109375" style="4" customWidth="1"/>
    <col min="11" max="11" width="22.42578125" style="4" customWidth="1"/>
    <col min="12" max="12" width="23.7109375" style="4" bestFit="1" customWidth="1"/>
    <col min="13" max="13" width="19.140625" style="4" bestFit="1" customWidth="1"/>
    <col min="14" max="14" width="18.7109375" style="4" bestFit="1" customWidth="1"/>
    <col min="15" max="15" width="22.85546875" style="4" bestFit="1" customWidth="1"/>
    <col min="16" max="16" width="19.140625" style="4" customWidth="1"/>
    <col min="17" max="17" width="19.140625" style="4" bestFit="1" customWidth="1"/>
    <col min="18" max="18" width="21.28515625" style="22" customWidth="1"/>
    <col min="19" max="19" width="22.28515625" style="4" customWidth="1"/>
    <col min="20" max="20" width="16.42578125" style="4" customWidth="1"/>
    <col min="21" max="21" width="12" style="4" customWidth="1"/>
    <col min="22" max="22" width="25.28515625" style="4" customWidth="1"/>
    <col min="23" max="23" width="14.85546875" style="4" customWidth="1"/>
    <col min="24" max="24" width="8" style="4" bestFit="1" customWidth="1"/>
    <col min="25" max="25" width="11.140625" style="4" bestFit="1" customWidth="1"/>
    <col min="26" max="315" width="8.85546875" style="4" customWidth="1"/>
    <col min="316" max="16384" width="8.85546875" style="4"/>
  </cols>
  <sheetData>
    <row r="1" spans="1:26" ht="26.45">
      <c r="A1" s="2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1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ht="26.45" hidden="1">
      <c r="A2" s="23" t="s">
        <v>26</v>
      </c>
      <c r="B2" s="5" t="s">
        <v>27</v>
      </c>
      <c r="C2" s="11" t="s">
        <v>28</v>
      </c>
      <c r="D2" s="5" t="s">
        <v>29</v>
      </c>
      <c r="E2" s="5" t="s">
        <v>30</v>
      </c>
      <c r="F2" s="42" t="s">
        <v>31</v>
      </c>
      <c r="G2" s="5" t="s">
        <v>32</v>
      </c>
      <c r="H2" s="11" t="str">
        <f>_xlfn.IFNA(VLOOKUP(F2,clientes!A:B,2,FALSE()),"--")</f>
        <v>Blend360</v>
      </c>
      <c r="I2" s="5" t="s">
        <v>33</v>
      </c>
      <c r="J2" s="11" t="s">
        <v>34</v>
      </c>
      <c r="K2" s="5" t="s">
        <v>34</v>
      </c>
      <c r="L2" s="4" t="s">
        <v>34</v>
      </c>
      <c r="M2" s="4" t="s">
        <v>34</v>
      </c>
      <c r="N2" s="4" t="s">
        <v>34</v>
      </c>
      <c r="O2" s="4" t="s">
        <v>34</v>
      </c>
      <c r="P2" s="11" t="s">
        <v>35</v>
      </c>
      <c r="Q2" s="11" t="s">
        <v>36</v>
      </c>
      <c r="R2" s="22">
        <v>5045</v>
      </c>
      <c r="S2" s="10" t="s">
        <v>37</v>
      </c>
      <c r="U2" s="4" t="s">
        <v>38</v>
      </c>
      <c r="V2" s="4" t="s">
        <v>38</v>
      </c>
      <c r="W2" s="4" t="s">
        <v>38</v>
      </c>
    </row>
    <row r="3" spans="1:26" ht="13.15" hidden="1">
      <c r="A3" s="23" t="s">
        <v>39</v>
      </c>
      <c r="B3" s="5" t="s">
        <v>40</v>
      </c>
      <c r="C3" s="11" t="str">
        <f t="shared" ref="C3:C32" si="0">F3&amp;" - "&amp;D3&amp;" - "&amp;E3</f>
        <v>BLD - Meetings &amp; Training - Internal</v>
      </c>
      <c r="D3" s="5" t="s">
        <v>41</v>
      </c>
      <c r="E3" s="5" t="s">
        <v>30</v>
      </c>
      <c r="F3" s="42" t="s">
        <v>31</v>
      </c>
      <c r="G3" s="5" t="s">
        <v>32</v>
      </c>
      <c r="H3" s="11" t="str">
        <f>_xlfn.IFNA(VLOOKUP(F3,clientes!A:B,2,FALSE()),"--")</f>
        <v>Blend360</v>
      </c>
      <c r="I3" s="5" t="s">
        <v>33</v>
      </c>
      <c r="J3" s="11" t="s">
        <v>34</v>
      </c>
      <c r="K3" s="5" t="s">
        <v>34</v>
      </c>
      <c r="L3" s="4" t="s">
        <v>34</v>
      </c>
      <c r="M3" s="4" t="s">
        <v>34</v>
      </c>
      <c r="N3" s="4" t="s">
        <v>34</v>
      </c>
      <c r="O3" s="4" t="s">
        <v>34</v>
      </c>
      <c r="P3" s="11" t="s">
        <v>35</v>
      </c>
      <c r="Q3" s="11" t="s">
        <v>36</v>
      </c>
      <c r="R3" s="22">
        <v>5045</v>
      </c>
      <c r="S3" s="10" t="s">
        <v>37</v>
      </c>
      <c r="U3" s="4" t="s">
        <v>38</v>
      </c>
      <c r="V3" s="4" t="s">
        <v>38</v>
      </c>
      <c r="W3" s="4" t="s">
        <v>38</v>
      </c>
    </row>
    <row r="4" spans="1:26" ht="13.15" hidden="1">
      <c r="A4" s="22" t="s">
        <v>42</v>
      </c>
      <c r="B4" s="5" t="s">
        <v>43</v>
      </c>
      <c r="C4" s="11" t="str">
        <f t="shared" si="0"/>
        <v>BLD - Time Off &amp; Holiday - Internal</v>
      </c>
      <c r="D4" s="5" t="s">
        <v>44</v>
      </c>
      <c r="E4" s="5" t="s">
        <v>30</v>
      </c>
      <c r="F4" s="42" t="s">
        <v>31</v>
      </c>
      <c r="G4" s="5" t="s">
        <v>32</v>
      </c>
      <c r="H4" s="11" t="str">
        <f>_xlfn.IFNA(VLOOKUP(F4,clientes!A:B,2,FALSE()),"--")</f>
        <v>Blend360</v>
      </c>
      <c r="I4" s="5" t="s">
        <v>33</v>
      </c>
      <c r="J4" s="11" t="s">
        <v>34</v>
      </c>
      <c r="K4" s="5" t="s">
        <v>34</v>
      </c>
      <c r="L4" s="4" t="s">
        <v>34</v>
      </c>
      <c r="M4" s="4" t="s">
        <v>34</v>
      </c>
      <c r="N4" s="4" t="s">
        <v>34</v>
      </c>
      <c r="O4" s="4" t="s">
        <v>34</v>
      </c>
      <c r="P4" s="11" t="s">
        <v>35</v>
      </c>
      <c r="Q4" s="11" t="s">
        <v>36</v>
      </c>
      <c r="R4" s="22">
        <v>5045</v>
      </c>
      <c r="S4" s="10" t="s">
        <v>37</v>
      </c>
      <c r="U4" s="4" t="s">
        <v>38</v>
      </c>
      <c r="V4" s="4" t="s">
        <v>38</v>
      </c>
      <c r="W4" s="4" t="s">
        <v>38</v>
      </c>
    </row>
    <row r="5" spans="1:26" ht="28.9" hidden="1" customHeight="1">
      <c r="A5" s="23" t="s">
        <v>45</v>
      </c>
      <c r="B5" s="5" t="s">
        <v>46</v>
      </c>
      <c r="C5" s="11" t="str">
        <f t="shared" si="0"/>
        <v>BTG - SmartCash - Operación - Ret SW</v>
      </c>
      <c r="D5" s="5" t="s">
        <v>47</v>
      </c>
      <c r="E5" s="5" t="s">
        <v>48</v>
      </c>
      <c r="F5" s="5" t="s">
        <v>49</v>
      </c>
      <c r="G5" s="5" t="s">
        <v>50</v>
      </c>
      <c r="H5" s="11" t="str">
        <f>_xlfn.IFNA(VLOOKUP(F5,clientes!A:B,2,FALSE()),"--")</f>
        <v>BTG Pactual Colombia</v>
      </c>
      <c r="I5" s="5" t="s">
        <v>33</v>
      </c>
      <c r="J5" s="9" t="s">
        <v>51</v>
      </c>
      <c r="K5" s="27" t="s">
        <v>52</v>
      </c>
      <c r="L5" s="10" t="s">
        <v>53</v>
      </c>
      <c r="M5" s="10" t="s">
        <v>54</v>
      </c>
      <c r="N5" s="10" t="s">
        <v>55</v>
      </c>
      <c r="O5" s="4" t="s">
        <v>56</v>
      </c>
      <c r="P5" s="11" t="s">
        <v>35</v>
      </c>
      <c r="Q5" s="11" t="s">
        <v>57</v>
      </c>
      <c r="R5" s="23" t="s">
        <v>58</v>
      </c>
      <c r="S5" s="10" t="s">
        <v>37</v>
      </c>
      <c r="V5" s="4" t="s">
        <v>38</v>
      </c>
      <c r="W5" s="4" t="s">
        <v>38</v>
      </c>
      <c r="Y5" s="61"/>
    </row>
    <row r="6" spans="1:26" ht="28.9" hidden="1" customHeight="1">
      <c r="A6" s="23" t="s">
        <v>59</v>
      </c>
      <c r="B6" s="5" t="s">
        <v>46</v>
      </c>
      <c r="C6" s="11" t="str">
        <f t="shared" si="0"/>
        <v>BTG - SmartCash - Operación - Ret</v>
      </c>
      <c r="D6" s="5" t="s">
        <v>47</v>
      </c>
      <c r="E6" s="5" t="s">
        <v>60</v>
      </c>
      <c r="F6" s="5" t="s">
        <v>49</v>
      </c>
      <c r="G6" s="5" t="s">
        <v>61</v>
      </c>
      <c r="H6" s="11" t="s">
        <v>62</v>
      </c>
      <c r="I6" s="5" t="s">
        <v>33</v>
      </c>
      <c r="J6" s="9" t="s">
        <v>51</v>
      </c>
      <c r="K6" s="27" t="s">
        <v>63</v>
      </c>
      <c r="L6" s="10" t="s">
        <v>53</v>
      </c>
      <c r="M6" s="10" t="s">
        <v>54</v>
      </c>
      <c r="N6" s="10" t="s">
        <v>55</v>
      </c>
      <c r="O6" s="4" t="s">
        <v>56</v>
      </c>
      <c r="P6" s="11" t="s">
        <v>35</v>
      </c>
      <c r="Q6" s="11" t="s">
        <v>57</v>
      </c>
      <c r="R6" s="23" t="s">
        <v>58</v>
      </c>
      <c r="S6" s="10" t="s">
        <v>64</v>
      </c>
      <c r="V6" s="4" t="s">
        <v>38</v>
      </c>
      <c r="W6" s="4" t="s">
        <v>38</v>
      </c>
    </row>
    <row r="7" spans="1:26" ht="26.45" hidden="1">
      <c r="A7" s="23" t="s">
        <v>65</v>
      </c>
      <c r="B7" s="5" t="s">
        <v>66</v>
      </c>
      <c r="C7" s="11" t="str">
        <f t="shared" si="0"/>
        <v>ACA - Catastro Cali Piloto Dashboard - Cloud</v>
      </c>
      <c r="D7" s="5" t="s">
        <v>67</v>
      </c>
      <c r="E7" s="5" t="s">
        <v>68</v>
      </c>
      <c r="F7" s="5" t="s">
        <v>69</v>
      </c>
      <c r="G7" s="4" t="s">
        <v>70</v>
      </c>
      <c r="H7" s="11" t="str">
        <f>_xlfn.IFNA(VLOOKUP(F7,clientes!A:B,2,FALSE()),"--")</f>
        <v>Alcaldia de Cali</v>
      </c>
      <c r="I7" s="5" t="s">
        <v>71</v>
      </c>
      <c r="J7" s="12" t="s">
        <v>72</v>
      </c>
      <c r="K7" s="5" t="s">
        <v>34</v>
      </c>
      <c r="L7" s="10" t="s">
        <v>73</v>
      </c>
      <c r="M7" s="10" t="s">
        <v>74</v>
      </c>
      <c r="N7" s="10" t="s">
        <v>75</v>
      </c>
      <c r="O7" s="4" t="s">
        <v>76</v>
      </c>
      <c r="P7" s="11" t="s">
        <v>77</v>
      </c>
      <c r="Q7" s="11" t="s">
        <v>36</v>
      </c>
      <c r="R7" s="23" t="s">
        <v>78</v>
      </c>
      <c r="S7" s="10" t="s">
        <v>37</v>
      </c>
      <c r="U7" s="4" t="s">
        <v>38</v>
      </c>
      <c r="V7" s="4" t="s">
        <v>38</v>
      </c>
      <c r="W7" s="4" t="s">
        <v>38</v>
      </c>
    </row>
    <row r="8" spans="1:26" ht="26.45" hidden="1">
      <c r="A8" s="23" t="s">
        <v>79</v>
      </c>
      <c r="B8" s="5" t="s">
        <v>66</v>
      </c>
      <c r="C8" s="11" t="str">
        <f t="shared" si="0"/>
        <v>ACA - Catastro Cali Piloto Dashboard - Fixed</v>
      </c>
      <c r="D8" s="5" t="s">
        <v>67</v>
      </c>
      <c r="E8" s="5" t="s">
        <v>80</v>
      </c>
      <c r="F8" s="5" t="s">
        <v>69</v>
      </c>
      <c r="G8" s="5" t="s">
        <v>81</v>
      </c>
      <c r="H8" s="11" t="str">
        <f>_xlfn.IFNA(VLOOKUP(F8,clientes!A:B,2,FALSE()),"--")</f>
        <v>Alcaldia de Cali</v>
      </c>
      <c r="I8" s="5" t="s">
        <v>71</v>
      </c>
      <c r="J8" s="12" t="s">
        <v>72</v>
      </c>
      <c r="K8" s="5" t="s">
        <v>34</v>
      </c>
      <c r="L8" s="10" t="s">
        <v>73</v>
      </c>
      <c r="M8" s="10" t="s">
        <v>74</v>
      </c>
      <c r="N8" s="10" t="s">
        <v>75</v>
      </c>
      <c r="O8" s="4" t="s">
        <v>76</v>
      </c>
      <c r="P8" s="11" t="s">
        <v>77</v>
      </c>
      <c r="Q8" s="11" t="s">
        <v>36</v>
      </c>
      <c r="R8" s="23" t="s">
        <v>78</v>
      </c>
      <c r="S8" s="4" t="s">
        <v>76</v>
      </c>
      <c r="U8" s="4" t="s">
        <v>38</v>
      </c>
      <c r="V8" s="4" t="s">
        <v>38</v>
      </c>
      <c r="W8" s="4" t="s">
        <v>38</v>
      </c>
    </row>
    <row r="9" spans="1:26" ht="39.6" hidden="1">
      <c r="A9" s="23" t="s">
        <v>82</v>
      </c>
      <c r="B9" s="5" t="s">
        <v>83</v>
      </c>
      <c r="C9" s="11" t="str">
        <f t="shared" si="0"/>
        <v>ACA - Fase 1 Datacali - Fixed</v>
      </c>
      <c r="D9" s="5" t="s">
        <v>84</v>
      </c>
      <c r="E9" s="5" t="s">
        <v>80</v>
      </c>
      <c r="F9" s="5" t="s">
        <v>69</v>
      </c>
      <c r="G9" s="5" t="s">
        <v>81</v>
      </c>
      <c r="H9" s="11" t="str">
        <f>_xlfn.IFNA(VLOOKUP(F9,clientes!A:B,2,FALSE()),"--")</f>
        <v>Alcaldia de Cali</v>
      </c>
      <c r="I9" s="5" t="s">
        <v>71</v>
      </c>
      <c r="J9" s="12" t="s">
        <v>72</v>
      </c>
      <c r="K9" s="18" t="s">
        <v>85</v>
      </c>
      <c r="L9" s="10" t="s">
        <v>73</v>
      </c>
      <c r="M9" s="10" t="s">
        <v>74</v>
      </c>
      <c r="N9" s="10" t="s">
        <v>75</v>
      </c>
      <c r="O9" s="4" t="s">
        <v>76</v>
      </c>
      <c r="P9" s="11" t="s">
        <v>77</v>
      </c>
      <c r="Q9" s="11" t="s">
        <v>36</v>
      </c>
      <c r="R9" s="23" t="s">
        <v>86</v>
      </c>
      <c r="S9" s="4" t="s">
        <v>76</v>
      </c>
      <c r="U9" s="4" t="s">
        <v>38</v>
      </c>
      <c r="V9" s="4" t="s">
        <v>38</v>
      </c>
      <c r="W9" s="4" t="s">
        <v>38</v>
      </c>
    </row>
    <row r="10" spans="1:26" ht="39.6" hidden="1">
      <c r="A10" s="23" t="s">
        <v>87</v>
      </c>
      <c r="B10" s="5" t="s">
        <v>83</v>
      </c>
      <c r="C10" s="11" t="str">
        <f t="shared" si="0"/>
        <v>ACA - Fase 1 Datacali - Ret SW</v>
      </c>
      <c r="D10" s="5" t="s">
        <v>84</v>
      </c>
      <c r="E10" s="5" t="s">
        <v>48</v>
      </c>
      <c r="F10" s="5" t="s">
        <v>69</v>
      </c>
      <c r="G10" s="5" t="s">
        <v>50</v>
      </c>
      <c r="H10" s="11" t="str">
        <f>_xlfn.IFNA(VLOOKUP(F10,clientes!A:B,2,FALSE()),"--")</f>
        <v>Alcaldia de Cali</v>
      </c>
      <c r="I10" s="5" t="s">
        <v>71</v>
      </c>
      <c r="J10" s="12" t="s">
        <v>72</v>
      </c>
      <c r="K10" s="18" t="s">
        <v>85</v>
      </c>
      <c r="L10" s="10" t="s">
        <v>73</v>
      </c>
      <c r="M10" s="10" t="s">
        <v>74</v>
      </c>
      <c r="N10" s="10" t="s">
        <v>75</v>
      </c>
      <c r="O10" s="4" t="s">
        <v>76</v>
      </c>
      <c r="P10" s="11" t="s">
        <v>77</v>
      </c>
      <c r="Q10" s="11" t="s">
        <v>36</v>
      </c>
      <c r="R10" s="23" t="s">
        <v>86</v>
      </c>
      <c r="S10" s="10" t="s">
        <v>37</v>
      </c>
      <c r="U10" s="4" t="s">
        <v>38</v>
      </c>
      <c r="V10" s="4" t="s">
        <v>38</v>
      </c>
      <c r="W10" s="4" t="s">
        <v>38</v>
      </c>
    </row>
    <row r="11" spans="1:26" ht="39.6" hidden="1">
      <c r="A11" s="23" t="s">
        <v>88</v>
      </c>
      <c r="B11" s="5" t="s">
        <v>83</v>
      </c>
      <c r="C11" s="11" t="str">
        <f t="shared" si="0"/>
        <v>ACA - Fase 1 Datacali - Cloud</v>
      </c>
      <c r="D11" s="5" t="s">
        <v>84</v>
      </c>
      <c r="E11" s="5" t="s">
        <v>68</v>
      </c>
      <c r="F11" s="5" t="s">
        <v>69</v>
      </c>
      <c r="G11" s="4" t="s">
        <v>70</v>
      </c>
      <c r="H11" s="11" t="str">
        <f>_xlfn.IFNA(VLOOKUP(F11,clientes!A:B,2,FALSE()),"--")</f>
        <v>Alcaldia de Cali</v>
      </c>
      <c r="I11" s="5" t="s">
        <v>71</v>
      </c>
      <c r="J11" s="12" t="s">
        <v>72</v>
      </c>
      <c r="K11" s="18" t="s">
        <v>85</v>
      </c>
      <c r="L11" s="10" t="s">
        <v>73</v>
      </c>
      <c r="M11" s="10" t="s">
        <v>74</v>
      </c>
      <c r="N11" s="10" t="s">
        <v>75</v>
      </c>
      <c r="O11" s="4" t="s">
        <v>76</v>
      </c>
      <c r="P11" s="11" t="s">
        <v>77</v>
      </c>
      <c r="Q11" s="11" t="s">
        <v>36</v>
      </c>
      <c r="R11" s="23" t="s">
        <v>86</v>
      </c>
      <c r="S11" s="10" t="s">
        <v>37</v>
      </c>
      <c r="U11" s="4" t="s">
        <v>38</v>
      </c>
      <c r="V11" s="4" t="s">
        <v>38</v>
      </c>
      <c r="W11" s="4" t="s">
        <v>38</v>
      </c>
    </row>
    <row r="12" spans="1:26" ht="39.6" hidden="1">
      <c r="A12" s="23" t="s">
        <v>89</v>
      </c>
      <c r="B12" s="5" t="s">
        <v>90</v>
      </c>
      <c r="C12" s="11" t="str">
        <f t="shared" si="0"/>
        <v>AGA - Datalake Grupo de Energía de Bogotá - Cloud</v>
      </c>
      <c r="D12" s="5" t="s">
        <v>91</v>
      </c>
      <c r="E12" s="5" t="s">
        <v>68</v>
      </c>
      <c r="F12" s="5" t="s">
        <v>92</v>
      </c>
      <c r="G12" s="4" t="s">
        <v>70</v>
      </c>
      <c r="H12" s="11" t="str">
        <f>_xlfn.IFNA(VLOOKUP(F12,clientes!A:B,2,FALSE()),"--")</f>
        <v>Agata Data</v>
      </c>
      <c r="I12" s="5" t="s">
        <v>71</v>
      </c>
      <c r="J12" s="6" t="s">
        <v>93</v>
      </c>
      <c r="K12" s="27" t="s">
        <v>94</v>
      </c>
      <c r="L12" s="10" t="s">
        <v>73</v>
      </c>
      <c r="M12" s="10" t="s">
        <v>95</v>
      </c>
      <c r="N12" s="10" t="s">
        <v>75</v>
      </c>
      <c r="O12" s="4" t="s">
        <v>96</v>
      </c>
      <c r="P12" s="11" t="s">
        <v>77</v>
      </c>
      <c r="Q12" s="11" t="s">
        <v>36</v>
      </c>
      <c r="R12" s="23" t="s">
        <v>97</v>
      </c>
      <c r="S12" s="10" t="s">
        <v>37</v>
      </c>
      <c r="U12" s="4" t="s">
        <v>38</v>
      </c>
      <c r="V12" s="4" t="s">
        <v>38</v>
      </c>
      <c r="W12" s="4" t="s">
        <v>38</v>
      </c>
    </row>
    <row r="13" spans="1:26" ht="39.6" hidden="1">
      <c r="A13" s="23" t="s">
        <v>98</v>
      </c>
      <c r="B13" s="5" t="s">
        <v>90</v>
      </c>
      <c r="C13" s="11" t="str">
        <f t="shared" si="0"/>
        <v>AGA - Datalake Grupo de Energía de Bogotá - Ret SW</v>
      </c>
      <c r="D13" s="5" t="s">
        <v>91</v>
      </c>
      <c r="E13" s="5" t="s">
        <v>48</v>
      </c>
      <c r="F13" s="5" t="s">
        <v>92</v>
      </c>
      <c r="G13" s="5" t="s">
        <v>50</v>
      </c>
      <c r="H13" s="11" t="str">
        <f>_xlfn.IFNA(VLOOKUP(F13,clientes!A:B,2,FALSE()),"--")</f>
        <v>Agata Data</v>
      </c>
      <c r="I13" s="5" t="s">
        <v>71</v>
      </c>
      <c r="J13" s="6" t="s">
        <v>93</v>
      </c>
      <c r="K13" s="27" t="s">
        <v>94</v>
      </c>
      <c r="L13" s="10" t="s">
        <v>73</v>
      </c>
      <c r="M13" s="10" t="s">
        <v>95</v>
      </c>
      <c r="N13" s="10" t="s">
        <v>75</v>
      </c>
      <c r="O13" s="4" t="s">
        <v>96</v>
      </c>
      <c r="P13" s="11" t="s">
        <v>77</v>
      </c>
      <c r="Q13" s="11" t="s">
        <v>36</v>
      </c>
      <c r="R13" s="23" t="s">
        <v>97</v>
      </c>
      <c r="S13" s="10" t="s">
        <v>37</v>
      </c>
      <c r="U13" s="4" t="s">
        <v>38</v>
      </c>
      <c r="V13" s="4" t="s">
        <v>38</v>
      </c>
      <c r="W13" s="4" t="s">
        <v>38</v>
      </c>
    </row>
    <row r="14" spans="1:26" ht="39.6" hidden="1">
      <c r="A14" s="23" t="s">
        <v>99</v>
      </c>
      <c r="B14" s="5" t="s">
        <v>90</v>
      </c>
      <c r="C14" s="11" t="str">
        <f t="shared" si="0"/>
        <v>AGA - Datalake Grupo de Energía de Bogotá - Ret</v>
      </c>
      <c r="D14" s="5" t="s">
        <v>91</v>
      </c>
      <c r="E14" s="5" t="s">
        <v>60</v>
      </c>
      <c r="F14" s="5" t="s">
        <v>92</v>
      </c>
      <c r="G14" s="5" t="s">
        <v>61</v>
      </c>
      <c r="H14" s="11" t="str">
        <f>_xlfn.IFNA(VLOOKUP(F14,clientes!A:B,2,FALSE()),"--")</f>
        <v>Agata Data</v>
      </c>
      <c r="I14" s="5" t="s">
        <v>71</v>
      </c>
      <c r="J14" s="6" t="s">
        <v>93</v>
      </c>
      <c r="K14" s="27" t="s">
        <v>100</v>
      </c>
      <c r="L14" s="10" t="s">
        <v>73</v>
      </c>
      <c r="M14" s="10" t="s">
        <v>95</v>
      </c>
      <c r="N14" s="10" t="s">
        <v>75</v>
      </c>
      <c r="O14" s="4" t="s">
        <v>96</v>
      </c>
      <c r="P14" s="11" t="s">
        <v>77</v>
      </c>
      <c r="Q14" s="11" t="s">
        <v>36</v>
      </c>
      <c r="R14" s="23" t="s">
        <v>97</v>
      </c>
      <c r="S14" s="10" t="s">
        <v>64</v>
      </c>
      <c r="U14" s="4" t="s">
        <v>38</v>
      </c>
      <c r="V14" s="4" t="s">
        <v>38</v>
      </c>
      <c r="W14" s="4" t="s">
        <v>38</v>
      </c>
    </row>
    <row r="15" spans="1:26" ht="26.45" hidden="1">
      <c r="A15" s="22" t="s">
        <v>101</v>
      </c>
      <c r="B15" s="5" t="s">
        <v>102</v>
      </c>
      <c r="C15" s="11" t="str">
        <f t="shared" si="0"/>
        <v>AGR - CP Suite ( Smartcash) Operación - Ret</v>
      </c>
      <c r="D15" s="5" t="s">
        <v>103</v>
      </c>
      <c r="E15" s="5" t="s">
        <v>60</v>
      </c>
      <c r="F15" s="5" t="s">
        <v>104</v>
      </c>
      <c r="G15" s="5" t="s">
        <v>61</v>
      </c>
      <c r="H15" s="11" t="str">
        <f>_xlfn.IFNA(VLOOKUP(F15,clientes!A:B,2,FALSE()),"--")</f>
        <v>Fiduagraria</v>
      </c>
      <c r="I15" s="5" t="s">
        <v>71</v>
      </c>
      <c r="J15" s="12" t="s">
        <v>105</v>
      </c>
      <c r="K15" s="53" t="s">
        <v>106</v>
      </c>
      <c r="L15" s="10" t="s">
        <v>73</v>
      </c>
      <c r="M15" s="10" t="s">
        <v>95</v>
      </c>
      <c r="N15" s="10" t="s">
        <v>75</v>
      </c>
      <c r="O15" s="4" t="s">
        <v>107</v>
      </c>
      <c r="P15" s="11" t="s">
        <v>77</v>
      </c>
      <c r="Q15" s="11" t="s">
        <v>57</v>
      </c>
      <c r="R15" s="22">
        <v>55123</v>
      </c>
      <c r="S15" s="10" t="s">
        <v>64</v>
      </c>
      <c r="U15" s="4" t="s">
        <v>38</v>
      </c>
      <c r="V15" s="4" t="s">
        <v>38</v>
      </c>
      <c r="W15" s="4" t="s">
        <v>38</v>
      </c>
    </row>
    <row r="16" spans="1:26" ht="26.45" hidden="1">
      <c r="A16" s="22" t="s">
        <v>108</v>
      </c>
      <c r="B16" s="5" t="s">
        <v>109</v>
      </c>
      <c r="C16" s="11" t="str">
        <f t="shared" si="0"/>
        <v>AGR - Quicksight Operación 2025   - Cloud</v>
      </c>
      <c r="D16" s="5" t="s">
        <v>110</v>
      </c>
      <c r="E16" s="5" t="s">
        <v>68</v>
      </c>
      <c r="F16" s="5" t="s">
        <v>104</v>
      </c>
      <c r="G16" s="4" t="s">
        <v>70</v>
      </c>
      <c r="H16" s="11" t="str">
        <f>_xlfn.IFNA(VLOOKUP(F16,clientes!A:B,2,FALSE()),"--")</f>
        <v>Fiduagraria</v>
      </c>
      <c r="I16" s="5" t="s">
        <v>71</v>
      </c>
      <c r="J16" s="12" t="s">
        <v>111</v>
      </c>
      <c r="K16" s="27" t="s">
        <v>112</v>
      </c>
      <c r="L16" s="10" t="s">
        <v>73</v>
      </c>
      <c r="M16" s="10" t="s">
        <v>95</v>
      </c>
      <c r="N16" s="10" t="s">
        <v>75</v>
      </c>
      <c r="O16" s="4" t="s">
        <v>107</v>
      </c>
      <c r="P16" s="11" t="s">
        <v>77</v>
      </c>
      <c r="Q16" s="11" t="s">
        <v>36</v>
      </c>
      <c r="R16" s="22">
        <v>55124</v>
      </c>
      <c r="S16" s="10" t="s">
        <v>37</v>
      </c>
      <c r="U16" s="4" t="s">
        <v>38</v>
      </c>
      <c r="V16" s="4" t="s">
        <v>38</v>
      </c>
      <c r="W16" s="4" t="s">
        <v>38</v>
      </c>
    </row>
    <row r="17" spans="1:26" ht="26.45" hidden="1">
      <c r="A17" s="22" t="s">
        <v>113</v>
      </c>
      <c r="B17" s="5" t="s">
        <v>114</v>
      </c>
      <c r="C17" s="11" t="str">
        <f t="shared" si="0"/>
        <v>AGR - Snaptask Operación 2025 - Ret</v>
      </c>
      <c r="D17" s="5" t="s">
        <v>115</v>
      </c>
      <c r="E17" s="5" t="s">
        <v>60</v>
      </c>
      <c r="F17" s="5" t="s">
        <v>104</v>
      </c>
      <c r="G17" s="5" t="s">
        <v>61</v>
      </c>
      <c r="H17" s="11" t="str">
        <f>_xlfn.IFNA(VLOOKUP(F17,clientes!A:B,2,FALSE()),"--")</f>
        <v>Fiduagraria</v>
      </c>
      <c r="I17" s="5" t="s">
        <v>71</v>
      </c>
      <c r="J17" s="12" t="s">
        <v>116</v>
      </c>
      <c r="K17" s="27" t="s">
        <v>117</v>
      </c>
      <c r="L17" s="10" t="s">
        <v>73</v>
      </c>
      <c r="M17" s="10" t="s">
        <v>95</v>
      </c>
      <c r="N17" s="10" t="s">
        <v>75</v>
      </c>
      <c r="O17" s="4" t="s">
        <v>107</v>
      </c>
      <c r="P17" s="11" t="s">
        <v>77</v>
      </c>
      <c r="Q17" s="11" t="s">
        <v>57</v>
      </c>
      <c r="R17" s="22">
        <v>55124</v>
      </c>
      <c r="S17" s="10" t="s">
        <v>64</v>
      </c>
      <c r="U17" s="4" t="s">
        <v>38</v>
      </c>
      <c r="V17" s="4" t="s">
        <v>38</v>
      </c>
      <c r="W17" s="4" t="s">
        <v>38</v>
      </c>
    </row>
    <row r="18" spans="1:26" ht="26.45" hidden="1">
      <c r="A18" s="23" t="s">
        <v>118</v>
      </c>
      <c r="B18" s="5" t="s">
        <v>119</v>
      </c>
      <c r="C18" s="11" t="str">
        <f t="shared" si="0"/>
        <v>UBO - Operación Cloud - Cloud</v>
      </c>
      <c r="D18" s="5" t="s">
        <v>120</v>
      </c>
      <c r="E18" s="5" t="s">
        <v>68</v>
      </c>
      <c r="F18" s="5" t="s">
        <v>121</v>
      </c>
      <c r="G18" s="4" t="s">
        <v>70</v>
      </c>
      <c r="H18" s="11" t="str">
        <f>_xlfn.IFNA(VLOOKUP(F18,clientes!A:B,2,FALSE()),"--")</f>
        <v>UBosque</v>
      </c>
      <c r="I18" s="5" t="s">
        <v>33</v>
      </c>
      <c r="J18" s="9" t="s">
        <v>122</v>
      </c>
      <c r="K18" s="27" t="s">
        <v>123</v>
      </c>
      <c r="L18" s="10" t="s">
        <v>124</v>
      </c>
      <c r="M18" s="10" t="s">
        <v>95</v>
      </c>
      <c r="N18" s="10" t="s">
        <v>125</v>
      </c>
      <c r="O18" s="4" t="s">
        <v>34</v>
      </c>
      <c r="P18" s="11" t="s">
        <v>35</v>
      </c>
      <c r="Q18" s="11" t="s">
        <v>36</v>
      </c>
      <c r="R18" s="23">
        <v>55180</v>
      </c>
      <c r="S18" s="10" t="s">
        <v>37</v>
      </c>
      <c r="U18" s="48" t="s">
        <v>126</v>
      </c>
      <c r="V18" s="74"/>
      <c r="W18" s="48" t="s">
        <v>127</v>
      </c>
      <c r="Y18" s="74"/>
      <c r="Z18" s="74"/>
    </row>
    <row r="19" spans="1:26" hidden="1">
      <c r="A19" s="22" t="s">
        <v>128</v>
      </c>
      <c r="B19" s="5" t="s">
        <v>129</v>
      </c>
      <c r="C19" s="11" t="str">
        <f t="shared" si="0"/>
        <v>DIA - Aprovisionamiento multinube - Lote 3 - Cloud</v>
      </c>
      <c r="D19" s="5" t="s">
        <v>130</v>
      </c>
      <c r="E19" s="5" t="s">
        <v>68</v>
      </c>
      <c r="F19" s="5" t="s">
        <v>131</v>
      </c>
      <c r="G19" s="4" t="s">
        <v>70</v>
      </c>
      <c r="H19" s="11" t="str">
        <f>_xlfn.IFNA(VLOOKUP(F19,clientes!A:B,2,FALSE()),"--")</f>
        <v>DIAN</v>
      </c>
      <c r="I19" s="5" t="s">
        <v>33</v>
      </c>
      <c r="J19" s="6" t="s">
        <v>132</v>
      </c>
      <c r="K19" s="27" t="s">
        <v>133</v>
      </c>
      <c r="L19" s="10" t="s">
        <v>134</v>
      </c>
      <c r="M19" s="10" t="s">
        <v>135</v>
      </c>
      <c r="N19" s="10" t="s">
        <v>136</v>
      </c>
      <c r="O19" s="4" t="s">
        <v>137</v>
      </c>
      <c r="P19" s="11" t="s">
        <v>35</v>
      </c>
      <c r="Q19" s="11" t="s">
        <v>36</v>
      </c>
      <c r="R19" s="22">
        <v>55144</v>
      </c>
      <c r="S19" s="4" t="s">
        <v>138</v>
      </c>
      <c r="U19" s="48"/>
      <c r="V19" s="4" t="s">
        <v>38</v>
      </c>
      <c r="W19" s="4" t="s">
        <v>38</v>
      </c>
    </row>
    <row r="20" spans="1:26" ht="55.15" hidden="1">
      <c r="A20" s="23" t="s">
        <v>139</v>
      </c>
      <c r="B20" s="5" t="s">
        <v>140</v>
      </c>
      <c r="C20" s="11" t="str">
        <f t="shared" si="0"/>
        <v>JPM - Cloud Managed Services 2023-25 - Ret</v>
      </c>
      <c r="D20" s="5" t="s">
        <v>141</v>
      </c>
      <c r="E20" s="5" t="s">
        <v>60</v>
      </c>
      <c r="F20" s="5" t="s">
        <v>142</v>
      </c>
      <c r="G20" s="5" t="s">
        <v>61</v>
      </c>
      <c r="H20" s="11" t="str">
        <f>_xlfn.IFNA(VLOOKUP(F20,clientes!A:B,2,FALSE()),"--")</f>
        <v>JPMP - Justicia Penal Militar y Policial</v>
      </c>
      <c r="I20" s="5" t="s">
        <v>33</v>
      </c>
      <c r="J20" s="6" t="s">
        <v>143</v>
      </c>
      <c r="K20" s="27" t="s">
        <v>144</v>
      </c>
      <c r="L20" s="10" t="s">
        <v>124</v>
      </c>
      <c r="M20" s="10" t="s">
        <v>145</v>
      </c>
      <c r="N20" s="10" t="s">
        <v>136</v>
      </c>
      <c r="O20" s="4" t="s">
        <v>137</v>
      </c>
      <c r="P20" s="11" t="s">
        <v>35</v>
      </c>
      <c r="Q20" s="11" t="s">
        <v>36</v>
      </c>
      <c r="R20" s="23" t="s">
        <v>146</v>
      </c>
      <c r="S20" s="4" t="s">
        <v>138</v>
      </c>
      <c r="U20" s="75" t="s">
        <v>147</v>
      </c>
      <c r="V20" s="74"/>
      <c r="W20" s="74"/>
      <c r="Y20" s="43" t="s">
        <v>148</v>
      </c>
      <c r="Z20" s="74"/>
    </row>
    <row r="21" spans="1:26" ht="55.15" hidden="1">
      <c r="A21" s="23" t="s">
        <v>149</v>
      </c>
      <c r="B21" s="5" t="s">
        <v>140</v>
      </c>
      <c r="C21" s="11" t="str">
        <f t="shared" si="0"/>
        <v>JPM - Cloud Managed Services 2023-25 - Cloud</v>
      </c>
      <c r="D21" s="5" t="s">
        <v>141</v>
      </c>
      <c r="E21" s="5" t="s">
        <v>68</v>
      </c>
      <c r="F21" s="5" t="s">
        <v>142</v>
      </c>
      <c r="G21" s="4" t="s">
        <v>70</v>
      </c>
      <c r="H21" s="11" t="str">
        <f>_xlfn.IFNA(VLOOKUP(F21,clientes!A:B,2,FALSE()),"--")</f>
        <v>JPMP - Justicia Penal Militar y Policial</v>
      </c>
      <c r="I21" s="5" t="s">
        <v>33</v>
      </c>
      <c r="J21" s="6" t="s">
        <v>143</v>
      </c>
      <c r="K21" s="7" t="s">
        <v>144</v>
      </c>
      <c r="L21" s="10" t="s">
        <v>124</v>
      </c>
      <c r="M21" s="10" t="s">
        <v>145</v>
      </c>
      <c r="N21" s="10" t="s">
        <v>136</v>
      </c>
      <c r="O21" s="4" t="s">
        <v>137</v>
      </c>
      <c r="P21" s="11" t="s">
        <v>35</v>
      </c>
      <c r="Q21" s="11" t="s">
        <v>36</v>
      </c>
      <c r="R21" s="23" t="s">
        <v>146</v>
      </c>
      <c r="S21" s="4" t="s">
        <v>138</v>
      </c>
      <c r="U21" s="75" t="s">
        <v>147</v>
      </c>
      <c r="V21" s="74"/>
      <c r="W21" s="74"/>
      <c r="Y21" s="43" t="s">
        <v>148</v>
      </c>
      <c r="Z21" s="74"/>
    </row>
    <row r="22" spans="1:26" ht="39.6" hidden="1">
      <c r="A22" s="23" t="s">
        <v>150</v>
      </c>
      <c r="B22" s="5" t="s">
        <v>151</v>
      </c>
      <c r="C22" s="11" t="str">
        <f t="shared" si="0"/>
        <v>BID - Migración y Diseño de Arquitectura AWS - Cloud</v>
      </c>
      <c r="D22" s="5" t="s">
        <v>152</v>
      </c>
      <c r="E22" s="5" t="s">
        <v>68</v>
      </c>
      <c r="F22" s="5" t="s">
        <v>153</v>
      </c>
      <c r="G22" s="4" t="s">
        <v>70</v>
      </c>
      <c r="H22" s="11" t="str">
        <f>_xlfn.IFNA(VLOOKUP(F22,clientes!A:B,2,FALSE()),"--")</f>
        <v>Banco Interamericano de Desarrollo</v>
      </c>
      <c r="I22" s="5" t="s">
        <v>71</v>
      </c>
      <c r="J22" s="6" t="s">
        <v>154</v>
      </c>
      <c r="K22" s="4" t="s">
        <v>155</v>
      </c>
      <c r="L22" s="40" t="s">
        <v>156</v>
      </c>
      <c r="M22" s="10" t="s">
        <v>157</v>
      </c>
      <c r="N22" s="10" t="s">
        <v>75</v>
      </c>
      <c r="P22" s="11" t="s">
        <v>77</v>
      </c>
      <c r="Q22" s="11" t="s">
        <v>36</v>
      </c>
      <c r="R22" s="23" t="s">
        <v>158</v>
      </c>
      <c r="S22" s="10" t="s">
        <v>37</v>
      </c>
      <c r="U22" s="4" t="s">
        <v>38</v>
      </c>
      <c r="V22" s="4" t="s">
        <v>38</v>
      </c>
      <c r="W22" s="4" t="s">
        <v>38</v>
      </c>
    </row>
    <row r="23" spans="1:26" ht="39.6" hidden="1">
      <c r="A23" s="23" t="s">
        <v>159</v>
      </c>
      <c r="B23" s="5" t="s">
        <v>151</v>
      </c>
      <c r="C23" s="11" t="str">
        <f t="shared" si="0"/>
        <v>BID - Migración y Diseño de Arquitectura AWS - Ret</v>
      </c>
      <c r="D23" s="5" t="s">
        <v>152</v>
      </c>
      <c r="E23" s="5" t="s">
        <v>60</v>
      </c>
      <c r="F23" s="5" t="s">
        <v>153</v>
      </c>
      <c r="G23" s="5" t="s">
        <v>61</v>
      </c>
      <c r="H23" s="11" t="str">
        <f>_xlfn.IFNA(VLOOKUP(F23,clientes!A:B,2,FALSE()),"--")</f>
        <v>Banco Interamericano de Desarrollo</v>
      </c>
      <c r="I23" s="5" t="s">
        <v>71</v>
      </c>
      <c r="J23" s="6" t="s">
        <v>154</v>
      </c>
      <c r="K23" s="4" t="s">
        <v>155</v>
      </c>
      <c r="L23" s="40" t="s">
        <v>156</v>
      </c>
      <c r="M23" s="10" t="s">
        <v>157</v>
      </c>
      <c r="N23" s="10" t="s">
        <v>75</v>
      </c>
      <c r="O23" s="4" t="s">
        <v>160</v>
      </c>
      <c r="P23" s="11" t="s">
        <v>77</v>
      </c>
      <c r="Q23" s="11" t="s">
        <v>36</v>
      </c>
      <c r="R23" s="23" t="s">
        <v>158</v>
      </c>
      <c r="S23" s="4" t="s">
        <v>160</v>
      </c>
      <c r="U23" s="4" t="s">
        <v>38</v>
      </c>
      <c r="V23" s="4" t="s">
        <v>38</v>
      </c>
      <c r="W23" s="4" t="s">
        <v>38</v>
      </c>
    </row>
    <row r="24" spans="1:26" ht="13.15" hidden="1">
      <c r="A24" s="23" t="s">
        <v>161</v>
      </c>
      <c r="B24" s="5" t="s">
        <v>162</v>
      </c>
      <c r="C24" s="11" t="str">
        <f t="shared" si="0"/>
        <v>DIA - Back Ups - Fixed</v>
      </c>
      <c r="D24" s="5" t="s">
        <v>163</v>
      </c>
      <c r="E24" s="5" t="s">
        <v>80</v>
      </c>
      <c r="F24" s="5" t="s">
        <v>131</v>
      </c>
      <c r="G24" s="5" t="s">
        <v>81</v>
      </c>
      <c r="H24" s="11" t="str">
        <f>_xlfn.IFNA(VLOOKUP(F24,clientes!A:B,2,FALSE()),"--")</f>
        <v>DIAN</v>
      </c>
      <c r="I24" s="5" t="s">
        <v>71</v>
      </c>
      <c r="J24" s="6" t="s">
        <v>132</v>
      </c>
      <c r="K24" s="27" t="s">
        <v>164</v>
      </c>
      <c r="L24" s="10" t="s">
        <v>134</v>
      </c>
      <c r="M24" s="10" t="s">
        <v>135</v>
      </c>
      <c r="N24" s="10" t="s">
        <v>136</v>
      </c>
      <c r="O24" s="4" t="s">
        <v>137</v>
      </c>
      <c r="P24" s="11" t="s">
        <v>35</v>
      </c>
      <c r="Q24" s="11" t="s">
        <v>36</v>
      </c>
      <c r="R24" s="23">
        <v>55145</v>
      </c>
      <c r="S24" s="4" t="s">
        <v>138</v>
      </c>
      <c r="U24" s="4" t="s">
        <v>38</v>
      </c>
      <c r="V24" s="4" t="s">
        <v>38</v>
      </c>
      <c r="W24" s="4" t="s">
        <v>38</v>
      </c>
    </row>
    <row r="25" spans="1:26" ht="66" hidden="1">
      <c r="A25" s="23" t="s">
        <v>165</v>
      </c>
      <c r="B25" s="5" t="s">
        <v>166</v>
      </c>
      <c r="C25" s="11" t="str">
        <f t="shared" si="0"/>
        <v>CAT - Nube Pública para Datalake - Ret</v>
      </c>
      <c r="D25" s="5" t="s">
        <v>167</v>
      </c>
      <c r="E25" s="5" t="s">
        <v>60</v>
      </c>
      <c r="F25" s="5" t="s">
        <v>168</v>
      </c>
      <c r="G25" s="5" t="s">
        <v>61</v>
      </c>
      <c r="H25" s="11" t="str">
        <f>_xlfn.IFNA(VLOOKUP(F25,clientes!A:B,2,FALSE()),"--")</f>
        <v>Unidad Administrativa Especial de Catastro Distrital</v>
      </c>
      <c r="I25" s="5" t="s">
        <v>71</v>
      </c>
      <c r="J25" s="6" t="s">
        <v>169</v>
      </c>
      <c r="K25" s="7" t="s">
        <v>170</v>
      </c>
      <c r="L25" s="10" t="s">
        <v>53</v>
      </c>
      <c r="M25" s="10" t="s">
        <v>95</v>
      </c>
      <c r="N25" s="10" t="s">
        <v>75</v>
      </c>
      <c r="O25" s="4" t="s">
        <v>171</v>
      </c>
      <c r="P25" s="11" t="s">
        <v>77</v>
      </c>
      <c r="Q25" s="11" t="s">
        <v>36</v>
      </c>
      <c r="R25" s="23" t="s">
        <v>172</v>
      </c>
      <c r="S25" s="4" t="s">
        <v>138</v>
      </c>
      <c r="U25" s="4" t="s">
        <v>38</v>
      </c>
      <c r="V25" s="4" t="s">
        <v>38</v>
      </c>
      <c r="W25" s="4" t="s">
        <v>38</v>
      </c>
    </row>
    <row r="26" spans="1:26" ht="66" hidden="1">
      <c r="A26" s="23" t="s">
        <v>173</v>
      </c>
      <c r="B26" s="5" t="s">
        <v>166</v>
      </c>
      <c r="C26" s="11" t="str">
        <f t="shared" si="0"/>
        <v>CAT - Nube Pública para Datalake - Cloud</v>
      </c>
      <c r="D26" s="5" t="s">
        <v>167</v>
      </c>
      <c r="E26" s="5" t="s">
        <v>68</v>
      </c>
      <c r="F26" s="5" t="s">
        <v>168</v>
      </c>
      <c r="G26" s="4" t="s">
        <v>70</v>
      </c>
      <c r="H26" s="11" t="str">
        <f>_xlfn.IFNA(VLOOKUP(F26,clientes!A:B,2,FALSE()),"--")</f>
        <v>Unidad Administrativa Especial de Catastro Distrital</v>
      </c>
      <c r="I26" s="5" t="s">
        <v>71</v>
      </c>
      <c r="J26" s="6" t="s">
        <v>169</v>
      </c>
      <c r="K26" s="7" t="s">
        <v>170</v>
      </c>
      <c r="L26" s="4" t="s">
        <v>53</v>
      </c>
      <c r="M26" s="10" t="s">
        <v>95</v>
      </c>
      <c r="N26" s="10" t="s">
        <v>75</v>
      </c>
      <c r="O26" s="4" t="s">
        <v>171</v>
      </c>
      <c r="P26" s="11" t="s">
        <v>77</v>
      </c>
      <c r="Q26" s="11" t="s">
        <v>36</v>
      </c>
      <c r="R26" s="23" t="s">
        <v>172</v>
      </c>
      <c r="S26" s="4" t="s">
        <v>138</v>
      </c>
      <c r="U26" s="4" t="s">
        <v>38</v>
      </c>
      <c r="V26" s="4" t="s">
        <v>38</v>
      </c>
      <c r="W26" s="4" t="s">
        <v>38</v>
      </c>
    </row>
    <row r="27" spans="1:26" ht="39.6" hidden="1">
      <c r="A27" s="22" t="s">
        <v>174</v>
      </c>
      <c r="B27" s="5" t="s">
        <v>175</v>
      </c>
      <c r="C27" s="11" t="str">
        <f t="shared" si="0"/>
        <v>CCC - IaaS para DRP - Cloud</v>
      </c>
      <c r="D27" s="5" t="s">
        <v>176</v>
      </c>
      <c r="E27" s="5" t="s">
        <v>68</v>
      </c>
      <c r="F27" s="5" t="s">
        <v>177</v>
      </c>
      <c r="G27" s="4" t="s">
        <v>70</v>
      </c>
      <c r="H27" s="11" t="str">
        <f>_xlfn.IFNA(VLOOKUP(F27,clientes!A:B,2,FALSE()),"--")</f>
        <v>Cámara de Comercio de Cali</v>
      </c>
      <c r="I27" s="5" t="s">
        <v>33</v>
      </c>
      <c r="J27" s="6" t="s">
        <v>178</v>
      </c>
      <c r="K27" s="27" t="s">
        <v>179</v>
      </c>
      <c r="L27" s="10" t="s">
        <v>73</v>
      </c>
      <c r="M27" s="10" t="s">
        <v>180</v>
      </c>
      <c r="N27" s="10" t="s">
        <v>136</v>
      </c>
      <c r="O27" s="4" t="s">
        <v>137</v>
      </c>
      <c r="P27" s="11" t="s">
        <v>35</v>
      </c>
      <c r="Q27" s="11" t="s">
        <v>36</v>
      </c>
      <c r="R27" s="22">
        <v>55135</v>
      </c>
      <c r="S27" s="4" t="s">
        <v>138</v>
      </c>
      <c r="V27" s="4" t="s">
        <v>38</v>
      </c>
      <c r="W27" s="4" t="s">
        <v>38</v>
      </c>
    </row>
    <row r="28" spans="1:26" ht="39.6" hidden="1">
      <c r="A28" s="23" t="s">
        <v>181</v>
      </c>
      <c r="B28" s="5" t="s">
        <v>182</v>
      </c>
      <c r="C28" s="11" t="str">
        <f t="shared" si="0"/>
        <v>CSJ - Migración AWS - Fixed</v>
      </c>
      <c r="D28" s="5" t="s">
        <v>183</v>
      </c>
      <c r="E28" s="5" t="s">
        <v>80</v>
      </c>
      <c r="F28" s="5" t="s">
        <v>184</v>
      </c>
      <c r="G28" s="5" t="s">
        <v>81</v>
      </c>
      <c r="H28" s="11" t="str">
        <f>_xlfn.IFNA(VLOOKUP(F28,clientes!A:B,2,FALSE()),"--")</f>
        <v>Consejo Superior de la Judicatura</v>
      </c>
      <c r="I28" s="5" t="s">
        <v>71</v>
      </c>
      <c r="J28" s="6" t="s">
        <v>185</v>
      </c>
      <c r="K28" s="7" t="s">
        <v>186</v>
      </c>
      <c r="L28" s="10" t="s">
        <v>124</v>
      </c>
      <c r="M28" s="13" t="s">
        <v>187</v>
      </c>
      <c r="N28" s="10" t="s">
        <v>136</v>
      </c>
      <c r="O28" s="4" t="s">
        <v>137</v>
      </c>
      <c r="P28" s="11" t="s">
        <v>77</v>
      </c>
      <c r="Q28" s="11" t="s">
        <v>36</v>
      </c>
      <c r="R28" s="23" t="s">
        <v>188</v>
      </c>
      <c r="S28" s="4" t="s">
        <v>138</v>
      </c>
      <c r="U28" s="4" t="s">
        <v>38</v>
      </c>
      <c r="V28" s="4" t="s">
        <v>38</v>
      </c>
      <c r="W28" s="4" t="s">
        <v>38</v>
      </c>
    </row>
    <row r="29" spans="1:26" ht="39.6" hidden="1">
      <c r="A29" s="23" t="s">
        <v>189</v>
      </c>
      <c r="B29" s="5" t="s">
        <v>190</v>
      </c>
      <c r="C29" s="11" t="str">
        <f t="shared" si="0"/>
        <v>UNA - Unisalud - Ret</v>
      </c>
      <c r="D29" s="5" t="s">
        <v>191</v>
      </c>
      <c r="E29" s="5" t="s">
        <v>60</v>
      </c>
      <c r="F29" s="5" t="s">
        <v>192</v>
      </c>
      <c r="G29" s="5" t="s">
        <v>61</v>
      </c>
      <c r="H29" s="11" t="str">
        <f>_xlfn.IFNA(VLOOKUP(F29,clientes!A:B,2,FALSE()),"--")</f>
        <v>Universidad Nacional de Colombia</v>
      </c>
      <c r="I29" s="5" t="s">
        <v>33</v>
      </c>
      <c r="J29" s="12" t="s">
        <v>193</v>
      </c>
      <c r="K29" s="19" t="s">
        <v>194</v>
      </c>
      <c r="L29" s="4" t="s">
        <v>53</v>
      </c>
      <c r="M29" s="10" t="s">
        <v>95</v>
      </c>
      <c r="N29" s="10" t="s">
        <v>136</v>
      </c>
      <c r="O29" s="4" t="s">
        <v>137</v>
      </c>
      <c r="P29" s="11" t="s">
        <v>35</v>
      </c>
      <c r="Q29" s="11" t="s">
        <v>36</v>
      </c>
      <c r="R29" s="23">
        <v>55203</v>
      </c>
      <c r="S29" s="10" t="s">
        <v>37</v>
      </c>
      <c r="U29" s="4" t="s">
        <v>38</v>
      </c>
      <c r="V29" s="4" t="s">
        <v>38</v>
      </c>
      <c r="W29" s="4" t="s">
        <v>38</v>
      </c>
    </row>
    <row r="30" spans="1:26" ht="52.9" hidden="1">
      <c r="A30" s="23" t="s">
        <v>195</v>
      </c>
      <c r="B30" s="5" t="s">
        <v>196</v>
      </c>
      <c r="C30" s="11" t="str">
        <f t="shared" si="0"/>
        <v>CJU - Sistema integrado de Secretaría Técnica - Ret</v>
      </c>
      <c r="D30" s="5" t="s">
        <v>197</v>
      </c>
      <c r="E30" s="5" t="s">
        <v>60</v>
      </c>
      <c r="F30" s="5" t="s">
        <v>198</v>
      </c>
      <c r="G30" s="5" t="s">
        <v>61</v>
      </c>
      <c r="H30" s="11" t="str">
        <f>_xlfn.IFNA(VLOOKUP(F30,clientes!A:B,2,FALSE()),"--")</f>
        <v>Coljuegos</v>
      </c>
      <c r="I30" s="5" t="s">
        <v>71</v>
      </c>
      <c r="J30" s="12" t="s">
        <v>199</v>
      </c>
      <c r="K30" s="27" t="s">
        <v>200</v>
      </c>
      <c r="L30" s="10" t="s">
        <v>134</v>
      </c>
      <c r="M30" s="10" t="s">
        <v>74</v>
      </c>
      <c r="N30" s="10" t="s">
        <v>201</v>
      </c>
      <c r="O30" s="10" t="s">
        <v>202</v>
      </c>
      <c r="P30" s="11" t="s">
        <v>77</v>
      </c>
      <c r="Q30" s="11" t="s">
        <v>36</v>
      </c>
      <c r="R30" s="23" t="s">
        <v>203</v>
      </c>
      <c r="S30" s="10" t="s">
        <v>202</v>
      </c>
      <c r="U30" s="4" t="s">
        <v>204</v>
      </c>
      <c r="V30" s="4" t="s">
        <v>205</v>
      </c>
      <c r="W30" s="4" t="s">
        <v>38</v>
      </c>
    </row>
    <row r="31" spans="1:26" ht="39.6" hidden="1">
      <c r="A31" s="22" t="s">
        <v>206</v>
      </c>
      <c r="B31" s="5" t="s">
        <v>207</v>
      </c>
      <c r="C31" s="11" t="str">
        <f t="shared" si="0"/>
        <v>UNA - Regalías Sikie - Cloud</v>
      </c>
      <c r="D31" s="5" t="s">
        <v>208</v>
      </c>
      <c r="E31" s="5" t="s">
        <v>68</v>
      </c>
      <c r="F31" s="5" t="s">
        <v>192</v>
      </c>
      <c r="G31" s="4" t="s">
        <v>70</v>
      </c>
      <c r="H31" s="11" t="str">
        <f>_xlfn.IFNA(VLOOKUP(F31,clientes!A:B,2,FALSE()),"--")</f>
        <v>Universidad Nacional de Colombia</v>
      </c>
      <c r="I31" s="5" t="s">
        <v>33</v>
      </c>
      <c r="J31" s="12" t="s">
        <v>193</v>
      </c>
      <c r="K31" s="19" t="s">
        <v>194</v>
      </c>
      <c r="L31" s="4" t="s">
        <v>53</v>
      </c>
      <c r="M31" s="10" t="s">
        <v>95</v>
      </c>
      <c r="N31" s="10" t="s">
        <v>136</v>
      </c>
      <c r="O31" s="4" t="s">
        <v>137</v>
      </c>
      <c r="P31" s="11" t="s">
        <v>35</v>
      </c>
      <c r="Q31" s="11" t="s">
        <v>36</v>
      </c>
      <c r="R31" s="22">
        <v>55206</v>
      </c>
      <c r="S31" s="10" t="s">
        <v>37</v>
      </c>
      <c r="U31" s="4" t="s">
        <v>38</v>
      </c>
      <c r="V31" s="4" t="s">
        <v>38</v>
      </c>
      <c r="W31" s="4" t="s">
        <v>38</v>
      </c>
    </row>
    <row r="32" spans="1:26" ht="39.6" hidden="1">
      <c r="A32" s="22" t="s">
        <v>209</v>
      </c>
      <c r="B32" s="5" t="s">
        <v>207</v>
      </c>
      <c r="C32" s="11" t="str">
        <f t="shared" si="0"/>
        <v>UNA - Regalías Sikie - Ret</v>
      </c>
      <c r="D32" s="5" t="s">
        <v>208</v>
      </c>
      <c r="E32" s="5" t="s">
        <v>60</v>
      </c>
      <c r="F32" s="5" t="s">
        <v>192</v>
      </c>
      <c r="G32" s="5" t="s">
        <v>61</v>
      </c>
      <c r="H32" s="11" t="str">
        <f>_xlfn.IFNA(VLOOKUP(F32,clientes!A:B,2,FALSE()),"--")</f>
        <v>Universidad Nacional de Colombia</v>
      </c>
      <c r="I32" s="5" t="s">
        <v>33</v>
      </c>
      <c r="J32" s="12" t="s">
        <v>210</v>
      </c>
      <c r="K32" s="19" t="s">
        <v>194</v>
      </c>
      <c r="L32" s="4" t="s">
        <v>53</v>
      </c>
      <c r="M32" s="10" t="s">
        <v>95</v>
      </c>
      <c r="N32" s="10" t="s">
        <v>136</v>
      </c>
      <c r="O32" s="4" t="s">
        <v>137</v>
      </c>
      <c r="P32" s="11" t="s">
        <v>35</v>
      </c>
      <c r="Q32" s="11"/>
      <c r="R32" s="22">
        <v>2600</v>
      </c>
      <c r="S32" s="10" t="s">
        <v>211</v>
      </c>
      <c r="U32" s="4" t="s">
        <v>38</v>
      </c>
      <c r="V32" s="4" t="s">
        <v>38</v>
      </c>
      <c r="W32" s="4" t="s">
        <v>38</v>
      </c>
    </row>
    <row r="33" spans="1:23" ht="39.6" hidden="1">
      <c r="A33" s="22" t="s">
        <v>209</v>
      </c>
      <c r="B33" s="4" t="s">
        <v>207</v>
      </c>
      <c r="C33" s="4" t="s">
        <v>212</v>
      </c>
      <c r="D33" s="4" t="s">
        <v>208</v>
      </c>
      <c r="E33" s="4" t="s">
        <v>60</v>
      </c>
      <c r="F33" s="4" t="s">
        <v>192</v>
      </c>
      <c r="G33" s="5" t="s">
        <v>61</v>
      </c>
      <c r="H33" s="11" t="str">
        <f>_xlfn.IFNA(VLOOKUP(F33,clientes!A:B,2,FALSE()),"--")</f>
        <v>Universidad Nacional de Colombia</v>
      </c>
      <c r="I33" s="5" t="s">
        <v>33</v>
      </c>
      <c r="L33" s="4" t="s">
        <v>53</v>
      </c>
      <c r="M33" s="4" t="s">
        <v>213</v>
      </c>
      <c r="P33" s="11" t="s">
        <v>35</v>
      </c>
      <c r="U33" s="4" t="s">
        <v>38</v>
      </c>
      <c r="V33" s="4" t="s">
        <v>38</v>
      </c>
      <c r="W33" s="4" t="s">
        <v>38</v>
      </c>
    </row>
    <row r="34" spans="1:23" ht="39.6" hidden="1">
      <c r="A34" s="23" t="s">
        <v>214</v>
      </c>
      <c r="B34" s="5" t="s">
        <v>215</v>
      </c>
      <c r="C34" s="11" t="str">
        <f t="shared" ref="C34:C65" si="1">F34&amp;" - "&amp;D34&amp;" - "&amp;E34</f>
        <v>UNA - Fortinet - Fixed</v>
      </c>
      <c r="D34" s="5" t="s">
        <v>216</v>
      </c>
      <c r="E34" s="5" t="s">
        <v>80</v>
      </c>
      <c r="F34" s="5" t="s">
        <v>192</v>
      </c>
      <c r="G34" s="5" t="s">
        <v>81</v>
      </c>
      <c r="H34" s="11" t="str">
        <f>_xlfn.IFNA(VLOOKUP(F34,clientes!A:B,2,FALSE()),"--")</f>
        <v>Universidad Nacional de Colombia</v>
      </c>
      <c r="I34" s="5" t="s">
        <v>33</v>
      </c>
      <c r="J34" s="12" t="s">
        <v>193</v>
      </c>
      <c r="K34" s="19" t="s">
        <v>194</v>
      </c>
      <c r="L34" s="4" t="s">
        <v>53</v>
      </c>
      <c r="M34" s="10" t="s">
        <v>95</v>
      </c>
      <c r="N34" s="10" t="s">
        <v>136</v>
      </c>
      <c r="O34" s="4" t="s">
        <v>137</v>
      </c>
      <c r="P34" s="11" t="s">
        <v>35</v>
      </c>
      <c r="Q34" s="11" t="s">
        <v>36</v>
      </c>
      <c r="R34" s="23" t="s">
        <v>217</v>
      </c>
      <c r="S34" s="4" t="s">
        <v>138</v>
      </c>
      <c r="U34" s="4" t="s">
        <v>38</v>
      </c>
      <c r="V34" s="4" t="s">
        <v>38</v>
      </c>
      <c r="W34" s="4" t="s">
        <v>38</v>
      </c>
    </row>
    <row r="35" spans="1:23" ht="92.45" hidden="1">
      <c r="A35" s="23" t="s">
        <v>218</v>
      </c>
      <c r="B35" s="5" t="s">
        <v>219</v>
      </c>
      <c r="C35" s="11" t="str">
        <f t="shared" si="1"/>
        <v>EAF - Portal Colombia Aprende - Fixed</v>
      </c>
      <c r="D35" s="5" t="s">
        <v>220</v>
      </c>
      <c r="E35" s="5" t="s">
        <v>80</v>
      </c>
      <c r="F35" s="5" t="s">
        <v>221</v>
      </c>
      <c r="G35" s="5" t="s">
        <v>81</v>
      </c>
      <c r="H35" s="11" t="str">
        <f>_xlfn.IFNA(VLOOKUP(F35,clientes!A:B,2,FALSE()),"--")</f>
        <v>Universidad EAFIT - Escuela de Administración, Finanzas e Instituto Tecnológico</v>
      </c>
      <c r="I35" s="5" t="s">
        <v>71</v>
      </c>
      <c r="J35" s="6" t="s">
        <v>222</v>
      </c>
      <c r="K35" s="27" t="s">
        <v>223</v>
      </c>
      <c r="L35" s="10" t="s">
        <v>73</v>
      </c>
      <c r="M35" s="10" t="s">
        <v>74</v>
      </c>
      <c r="N35" s="10" t="s">
        <v>201</v>
      </c>
      <c r="O35" s="4" t="s">
        <v>202</v>
      </c>
      <c r="P35" s="11" t="s">
        <v>77</v>
      </c>
      <c r="Q35" s="11" t="s">
        <v>36</v>
      </c>
      <c r="R35" s="23" t="s">
        <v>224</v>
      </c>
      <c r="S35" s="10" t="s">
        <v>64</v>
      </c>
      <c r="U35" s="4" t="s">
        <v>38</v>
      </c>
      <c r="V35" s="4" t="s">
        <v>38</v>
      </c>
      <c r="W35" s="4" t="s">
        <v>38</v>
      </c>
    </row>
    <row r="36" spans="1:23" ht="92.45" hidden="1">
      <c r="A36" s="23" t="s">
        <v>225</v>
      </c>
      <c r="B36" s="5" t="s">
        <v>219</v>
      </c>
      <c r="C36" s="11" t="str">
        <f t="shared" si="1"/>
        <v>EAF - Portal Colombia Aprende - Ret SW</v>
      </c>
      <c r="D36" s="5" t="s">
        <v>220</v>
      </c>
      <c r="E36" s="5" t="s">
        <v>48</v>
      </c>
      <c r="F36" s="5" t="s">
        <v>221</v>
      </c>
      <c r="G36" s="5" t="s">
        <v>50</v>
      </c>
      <c r="H36" s="11" t="str">
        <f>_xlfn.IFNA(VLOOKUP(F36,clientes!A:B,2,FALSE()),"--")</f>
        <v>Universidad EAFIT - Escuela de Administración, Finanzas e Instituto Tecnológico</v>
      </c>
      <c r="I36" s="5" t="s">
        <v>71</v>
      </c>
      <c r="J36" s="6" t="s">
        <v>222</v>
      </c>
      <c r="K36" s="27" t="s">
        <v>223</v>
      </c>
      <c r="L36" s="10" t="s">
        <v>73</v>
      </c>
      <c r="M36" s="10" t="s">
        <v>74</v>
      </c>
      <c r="N36" s="10" t="s">
        <v>201</v>
      </c>
      <c r="O36" s="4" t="s">
        <v>202</v>
      </c>
      <c r="P36" s="11" t="s">
        <v>77</v>
      </c>
      <c r="Q36" s="11" t="s">
        <v>36</v>
      </c>
      <c r="R36" s="23" t="s">
        <v>224</v>
      </c>
      <c r="S36" s="10" t="s">
        <v>37</v>
      </c>
      <c r="U36" s="4" t="s">
        <v>38</v>
      </c>
      <c r="V36" s="4" t="s">
        <v>38</v>
      </c>
      <c r="W36" s="4" t="s">
        <v>38</v>
      </c>
    </row>
    <row r="37" spans="1:23" ht="92.45" hidden="1">
      <c r="A37" s="23" t="s">
        <v>226</v>
      </c>
      <c r="B37" s="5" t="s">
        <v>219</v>
      </c>
      <c r="C37" s="11" t="str">
        <f t="shared" si="1"/>
        <v>EAF - Portal Colombia Aprende - Cloud</v>
      </c>
      <c r="D37" s="5" t="s">
        <v>220</v>
      </c>
      <c r="E37" s="5" t="s">
        <v>68</v>
      </c>
      <c r="F37" s="5" t="s">
        <v>221</v>
      </c>
      <c r="G37" s="4" t="s">
        <v>70</v>
      </c>
      <c r="H37" s="11" t="str">
        <f>_xlfn.IFNA(VLOOKUP(F37,clientes!A:B,2,FALSE()),"--")</f>
        <v>Universidad EAFIT - Escuela de Administración, Finanzas e Instituto Tecnológico</v>
      </c>
      <c r="I37" s="5" t="s">
        <v>71</v>
      </c>
      <c r="J37" s="6" t="s">
        <v>222</v>
      </c>
      <c r="K37" s="27" t="s">
        <v>223</v>
      </c>
      <c r="L37" s="10" t="s">
        <v>73</v>
      </c>
      <c r="M37" s="10" t="s">
        <v>74</v>
      </c>
      <c r="N37" s="10" t="s">
        <v>201</v>
      </c>
      <c r="O37" s="4" t="s">
        <v>202</v>
      </c>
      <c r="P37" s="11" t="s">
        <v>77</v>
      </c>
      <c r="Q37" s="11" t="s">
        <v>36</v>
      </c>
      <c r="R37" s="23" t="s">
        <v>224</v>
      </c>
      <c r="S37" s="10" t="s">
        <v>37</v>
      </c>
      <c r="U37" s="4" t="s">
        <v>38</v>
      </c>
      <c r="V37" s="4" t="s">
        <v>38</v>
      </c>
      <c r="W37" s="4" t="s">
        <v>38</v>
      </c>
    </row>
    <row r="38" spans="1:23" ht="39.6" hidden="1">
      <c r="A38" s="23" t="s">
        <v>227</v>
      </c>
      <c r="B38" s="5" t="s">
        <v>215</v>
      </c>
      <c r="C38" s="11" t="str">
        <f t="shared" si="1"/>
        <v>UNA - Fortinet - Cloud</v>
      </c>
      <c r="D38" s="5" t="s">
        <v>216</v>
      </c>
      <c r="E38" s="5" t="s">
        <v>68</v>
      </c>
      <c r="F38" s="5" t="s">
        <v>192</v>
      </c>
      <c r="G38" s="4" t="s">
        <v>70</v>
      </c>
      <c r="H38" s="11" t="str">
        <f>_xlfn.IFNA(VLOOKUP(F38,clientes!A:B,2,FALSE()),"--")</f>
        <v>Universidad Nacional de Colombia</v>
      </c>
      <c r="I38" s="5" t="s">
        <v>33</v>
      </c>
      <c r="J38" s="12" t="s">
        <v>193</v>
      </c>
      <c r="K38" s="19" t="s">
        <v>194</v>
      </c>
      <c r="L38" s="4" t="s">
        <v>53</v>
      </c>
      <c r="M38" s="10" t="s">
        <v>95</v>
      </c>
      <c r="N38" s="10" t="s">
        <v>136</v>
      </c>
      <c r="O38" s="4" t="s">
        <v>137</v>
      </c>
      <c r="P38" s="11" t="s">
        <v>35</v>
      </c>
      <c r="Q38" s="11" t="s">
        <v>36</v>
      </c>
      <c r="R38" s="23" t="s">
        <v>217</v>
      </c>
      <c r="S38" s="10" t="s">
        <v>37</v>
      </c>
      <c r="U38" s="4" t="s">
        <v>38</v>
      </c>
      <c r="V38" s="4" t="s">
        <v>38</v>
      </c>
      <c r="W38" s="4" t="s">
        <v>38</v>
      </c>
    </row>
    <row r="39" spans="1:23" ht="39.6" hidden="1">
      <c r="A39" s="23" t="s">
        <v>228</v>
      </c>
      <c r="B39" s="5" t="s">
        <v>229</v>
      </c>
      <c r="C39" s="11" t="str">
        <f t="shared" si="1"/>
        <v>FDN - Tableros BI - Fixed</v>
      </c>
      <c r="D39" s="5" t="s">
        <v>230</v>
      </c>
      <c r="E39" s="5" t="s">
        <v>80</v>
      </c>
      <c r="F39" s="5" t="s">
        <v>231</v>
      </c>
      <c r="G39" s="5" t="s">
        <v>81</v>
      </c>
      <c r="H39" s="11" t="str">
        <f>_xlfn.IFNA(VLOOKUP(F39,clientes!A:B,2,FALSE()),"--")</f>
        <v>Financiera de Desarrollo Nacional</v>
      </c>
      <c r="I39" s="5" t="s">
        <v>71</v>
      </c>
      <c r="J39" s="12" t="s">
        <v>232</v>
      </c>
      <c r="K39" s="4" t="s">
        <v>233</v>
      </c>
      <c r="L39" s="10" t="s">
        <v>124</v>
      </c>
      <c r="M39" s="10" t="s">
        <v>234</v>
      </c>
      <c r="N39" s="10" t="s">
        <v>75</v>
      </c>
      <c r="O39" s="4" t="s">
        <v>137</v>
      </c>
      <c r="P39" s="11" t="s">
        <v>77</v>
      </c>
      <c r="Q39" s="11" t="s">
        <v>36</v>
      </c>
      <c r="R39" s="23">
        <v>55155</v>
      </c>
      <c r="S39" s="10" t="s">
        <v>64</v>
      </c>
      <c r="U39" s="4" t="s">
        <v>38</v>
      </c>
      <c r="V39" s="4" t="s">
        <v>38</v>
      </c>
      <c r="W39" s="4" t="s">
        <v>38</v>
      </c>
    </row>
    <row r="40" spans="1:23" ht="39.6" hidden="1">
      <c r="A40" s="23" t="s">
        <v>235</v>
      </c>
      <c r="B40" s="5" t="s">
        <v>236</v>
      </c>
      <c r="C40" s="11" t="str">
        <f t="shared" si="1"/>
        <v>FOA - Gestión Integral Mojana - Fixed</v>
      </c>
      <c r="D40" s="5" t="s">
        <v>237</v>
      </c>
      <c r="E40" s="5" t="s">
        <v>80</v>
      </c>
      <c r="F40" s="5" t="s">
        <v>238</v>
      </c>
      <c r="G40" s="5" t="s">
        <v>81</v>
      </c>
      <c r="H40" s="11" t="str">
        <f>_xlfn.IFNA(VLOOKUP(F40,clientes!A:B,2,FALSE()),"--")</f>
        <v>Fondo Adaptación</v>
      </c>
      <c r="I40" s="5" t="s">
        <v>71</v>
      </c>
      <c r="J40" s="6" t="s">
        <v>239</v>
      </c>
      <c r="K40" s="4" t="s">
        <v>240</v>
      </c>
      <c r="L40" s="10" t="s">
        <v>134</v>
      </c>
      <c r="M40" s="10" t="s">
        <v>74</v>
      </c>
      <c r="N40" s="10" t="s">
        <v>75</v>
      </c>
      <c r="O40" s="4" t="s">
        <v>241</v>
      </c>
      <c r="P40" s="11" t="s">
        <v>77</v>
      </c>
      <c r="Q40" s="11" t="s">
        <v>36</v>
      </c>
      <c r="R40" s="23" t="s">
        <v>242</v>
      </c>
      <c r="S40" s="4" t="s">
        <v>241</v>
      </c>
      <c r="U40" s="4" t="s">
        <v>38</v>
      </c>
      <c r="V40" s="4" t="s">
        <v>38</v>
      </c>
      <c r="W40" s="4" t="s">
        <v>38</v>
      </c>
    </row>
    <row r="41" spans="1:23" ht="39.6" hidden="1">
      <c r="A41" s="23" t="s">
        <v>243</v>
      </c>
      <c r="B41" s="5" t="s">
        <v>236</v>
      </c>
      <c r="C41" s="11" t="str">
        <f t="shared" si="1"/>
        <v>FOA - Gestión Integral Mojana - Ret SW</v>
      </c>
      <c r="D41" s="5" t="s">
        <v>237</v>
      </c>
      <c r="E41" s="5" t="s">
        <v>48</v>
      </c>
      <c r="F41" s="5" t="s">
        <v>238</v>
      </c>
      <c r="G41" s="5" t="s">
        <v>50</v>
      </c>
      <c r="H41" s="11" t="str">
        <f>_xlfn.IFNA(VLOOKUP(F41,clientes!A:B,2,FALSE()),"--")</f>
        <v>Fondo Adaptación</v>
      </c>
      <c r="I41" s="5" t="s">
        <v>71</v>
      </c>
      <c r="J41" s="6" t="s">
        <v>239</v>
      </c>
      <c r="K41" s="4" t="s">
        <v>240</v>
      </c>
      <c r="L41" s="10" t="s">
        <v>134</v>
      </c>
      <c r="M41" s="10" t="s">
        <v>74</v>
      </c>
      <c r="N41" s="10" t="s">
        <v>75</v>
      </c>
      <c r="O41" s="4" t="s">
        <v>241</v>
      </c>
      <c r="P41" s="11" t="s">
        <v>77</v>
      </c>
      <c r="Q41" s="11" t="s">
        <v>36</v>
      </c>
      <c r="R41" s="23" t="s">
        <v>242</v>
      </c>
      <c r="S41" s="10" t="s">
        <v>37</v>
      </c>
      <c r="U41" s="4" t="s">
        <v>38</v>
      </c>
      <c r="V41" s="4" t="s">
        <v>38</v>
      </c>
      <c r="W41" s="4" t="s">
        <v>38</v>
      </c>
    </row>
    <row r="42" spans="1:23" ht="39.6" hidden="1">
      <c r="A42" s="23" t="s">
        <v>244</v>
      </c>
      <c r="B42" s="5" t="s">
        <v>236</v>
      </c>
      <c r="C42" s="11" t="str">
        <f t="shared" si="1"/>
        <v>FOA - Gestión Integral Mojana - Cloud</v>
      </c>
      <c r="D42" s="5" t="s">
        <v>237</v>
      </c>
      <c r="E42" s="5" t="s">
        <v>68</v>
      </c>
      <c r="F42" s="5" t="s">
        <v>238</v>
      </c>
      <c r="G42" s="4" t="s">
        <v>70</v>
      </c>
      <c r="H42" s="11" t="str">
        <f>_xlfn.IFNA(VLOOKUP(F42,clientes!A:B,2,FALSE()),"--")</f>
        <v>Fondo Adaptación</v>
      </c>
      <c r="I42" s="5" t="s">
        <v>71</v>
      </c>
      <c r="J42" s="6" t="s">
        <v>239</v>
      </c>
      <c r="K42" s="4" t="s">
        <v>240</v>
      </c>
      <c r="L42" s="10" t="s">
        <v>134</v>
      </c>
      <c r="M42" s="10" t="s">
        <v>74</v>
      </c>
      <c r="N42" s="10" t="s">
        <v>75</v>
      </c>
      <c r="O42" s="4" t="s">
        <v>241</v>
      </c>
      <c r="P42" s="11" t="s">
        <v>77</v>
      </c>
      <c r="Q42" s="11" t="s">
        <v>36</v>
      </c>
      <c r="R42" s="23" t="s">
        <v>242</v>
      </c>
      <c r="S42" s="10" t="s">
        <v>37</v>
      </c>
      <c r="U42" s="4" t="s">
        <v>38</v>
      </c>
      <c r="V42" s="4" t="s">
        <v>38</v>
      </c>
      <c r="W42" s="4" t="s">
        <v>38</v>
      </c>
    </row>
    <row r="43" spans="1:23" ht="26.45" hidden="1">
      <c r="A43" s="23" t="s">
        <v>245</v>
      </c>
      <c r="B43" s="5" t="s">
        <v>246</v>
      </c>
      <c r="C43" s="11" t="str">
        <f t="shared" si="1"/>
        <v>GLO - SmartCash - Operación - Cloud</v>
      </c>
      <c r="D43" s="5" t="s">
        <v>47</v>
      </c>
      <c r="E43" s="5" t="s">
        <v>68</v>
      </c>
      <c r="F43" s="5" t="s">
        <v>247</v>
      </c>
      <c r="G43" s="4" t="s">
        <v>70</v>
      </c>
      <c r="H43" s="11" t="str">
        <f>_xlfn.IFNA(VLOOKUP(F43,clientes!A:B,2,FALSE()),"--")</f>
        <v>Global Securities</v>
      </c>
      <c r="I43" s="5" t="s">
        <v>71</v>
      </c>
      <c r="J43" s="9" t="s">
        <v>248</v>
      </c>
      <c r="K43" s="8" t="s">
        <v>249</v>
      </c>
      <c r="L43" s="10" t="s">
        <v>73</v>
      </c>
      <c r="M43" s="10" t="s">
        <v>95</v>
      </c>
      <c r="N43" s="10" t="s">
        <v>75</v>
      </c>
      <c r="O43" s="4" t="s">
        <v>107</v>
      </c>
      <c r="P43" s="11" t="s">
        <v>77</v>
      </c>
      <c r="Q43" s="11" t="s">
        <v>57</v>
      </c>
      <c r="R43" s="23">
        <v>55154</v>
      </c>
      <c r="S43" s="10" t="s">
        <v>37</v>
      </c>
      <c r="U43" s="4" t="s">
        <v>38</v>
      </c>
      <c r="V43" s="4" t="s">
        <v>38</v>
      </c>
      <c r="W43" s="4" t="s">
        <v>38</v>
      </c>
    </row>
    <row r="44" spans="1:23" ht="79.150000000000006" hidden="1">
      <c r="A44" s="23" t="s">
        <v>250</v>
      </c>
      <c r="B44" s="5" t="s">
        <v>251</v>
      </c>
      <c r="C44" s="11" t="str">
        <f t="shared" si="1"/>
        <v>ICF - Evolución Datalake Fase1 2025 - Fixed</v>
      </c>
      <c r="D44" s="5" t="s">
        <v>252</v>
      </c>
      <c r="E44" s="5" t="s">
        <v>80</v>
      </c>
      <c r="F44" s="5" t="s">
        <v>253</v>
      </c>
      <c r="G44" s="5" t="s">
        <v>81</v>
      </c>
      <c r="H44" s="11" t="str">
        <f>_xlfn.IFNA(VLOOKUP(F44,clientes!A:B,2,FALSE()),"--")</f>
        <v>Instituto Colombiano Para La Evaluacion De La Educacion ICFES</v>
      </c>
      <c r="I44" s="5" t="s">
        <v>71</v>
      </c>
      <c r="J44" s="12" t="s">
        <v>254</v>
      </c>
      <c r="K44" s="4" t="s">
        <v>255</v>
      </c>
      <c r="L44" s="10" t="s">
        <v>134</v>
      </c>
      <c r="M44" s="10" t="s">
        <v>135</v>
      </c>
      <c r="N44" s="10" t="s">
        <v>201</v>
      </c>
      <c r="O44" s="4" t="s">
        <v>256</v>
      </c>
      <c r="P44" s="11" t="s">
        <v>77</v>
      </c>
      <c r="Q44" s="11" t="s">
        <v>36</v>
      </c>
      <c r="R44" s="23" t="s">
        <v>257</v>
      </c>
      <c r="S44" s="4" t="s">
        <v>256</v>
      </c>
      <c r="U44" s="4" t="s">
        <v>38</v>
      </c>
      <c r="V44" s="4" t="s">
        <v>38</v>
      </c>
      <c r="W44" s="4" t="s">
        <v>38</v>
      </c>
    </row>
    <row r="45" spans="1:23" ht="79.150000000000006" hidden="1">
      <c r="A45" s="23" t="s">
        <v>258</v>
      </c>
      <c r="B45" s="5" t="s">
        <v>251</v>
      </c>
      <c r="C45" s="11" t="str">
        <f t="shared" si="1"/>
        <v>ICF - Evolución Datalake Fase1 2025 - Ret</v>
      </c>
      <c r="D45" s="5" t="s">
        <v>252</v>
      </c>
      <c r="E45" s="5" t="s">
        <v>60</v>
      </c>
      <c r="F45" s="5" t="s">
        <v>253</v>
      </c>
      <c r="G45" s="5" t="s">
        <v>61</v>
      </c>
      <c r="H45" s="11" t="str">
        <f>_xlfn.IFNA(VLOOKUP(F45,clientes!A:B,2,FALSE()),"--")</f>
        <v>Instituto Colombiano Para La Evaluacion De La Educacion ICFES</v>
      </c>
      <c r="I45" s="5" t="s">
        <v>71</v>
      </c>
      <c r="J45" s="12" t="s">
        <v>254</v>
      </c>
      <c r="K45" s="4" t="s">
        <v>255</v>
      </c>
      <c r="L45" s="10" t="s">
        <v>134</v>
      </c>
      <c r="M45" s="10" t="s">
        <v>135</v>
      </c>
      <c r="N45" s="10" t="s">
        <v>201</v>
      </c>
      <c r="O45" s="4" t="s">
        <v>256</v>
      </c>
      <c r="P45" s="11" t="s">
        <v>77</v>
      </c>
      <c r="Q45" s="11" t="s">
        <v>36</v>
      </c>
      <c r="R45" s="23" t="s">
        <v>257</v>
      </c>
      <c r="S45" s="4" t="s">
        <v>256</v>
      </c>
      <c r="U45" s="4" t="s">
        <v>38</v>
      </c>
      <c r="V45" s="4" t="s">
        <v>38</v>
      </c>
      <c r="W45" s="4" t="s">
        <v>38</v>
      </c>
    </row>
    <row r="46" spans="1:23" ht="79.150000000000006" hidden="1">
      <c r="A46" s="23" t="s">
        <v>259</v>
      </c>
      <c r="B46" s="5" t="s">
        <v>251</v>
      </c>
      <c r="C46" s="11" t="str">
        <f t="shared" si="1"/>
        <v>ICF - Evolución Datalake Fase1 2025 - Cloud</v>
      </c>
      <c r="D46" s="5" t="s">
        <v>252</v>
      </c>
      <c r="E46" s="5" t="s">
        <v>68</v>
      </c>
      <c r="F46" s="5" t="s">
        <v>253</v>
      </c>
      <c r="G46" s="4" t="s">
        <v>70</v>
      </c>
      <c r="H46" s="11" t="str">
        <f>_xlfn.IFNA(VLOOKUP(F46,clientes!A:B,2,FALSE()),"--")</f>
        <v>Instituto Colombiano Para La Evaluacion De La Educacion ICFES</v>
      </c>
      <c r="I46" s="5" t="s">
        <v>71</v>
      </c>
      <c r="J46" s="12" t="s">
        <v>254</v>
      </c>
      <c r="K46" s="4" t="s">
        <v>255</v>
      </c>
      <c r="L46" s="10" t="s">
        <v>134</v>
      </c>
      <c r="M46" s="10" t="s">
        <v>135</v>
      </c>
      <c r="N46" s="10" t="s">
        <v>201</v>
      </c>
      <c r="O46" s="4" t="s">
        <v>256</v>
      </c>
      <c r="P46" s="11" t="s">
        <v>77</v>
      </c>
      <c r="Q46" s="11" t="s">
        <v>36</v>
      </c>
      <c r="R46" s="23" t="s">
        <v>257</v>
      </c>
      <c r="S46" s="10" t="s">
        <v>37</v>
      </c>
      <c r="U46" s="4" t="s">
        <v>38</v>
      </c>
      <c r="V46" s="4" t="s">
        <v>38</v>
      </c>
      <c r="W46" s="4" t="s">
        <v>38</v>
      </c>
    </row>
    <row r="47" spans="1:23" ht="79.150000000000006" hidden="1">
      <c r="A47" s="23" t="s">
        <v>260</v>
      </c>
      <c r="B47" s="5" t="s">
        <v>251</v>
      </c>
      <c r="C47" s="11" t="str">
        <f t="shared" si="1"/>
        <v>ICF - Evolución Datalake Fase1 2025 - Ret SW</v>
      </c>
      <c r="D47" s="5" t="s">
        <v>252</v>
      </c>
      <c r="E47" s="5" t="s">
        <v>48</v>
      </c>
      <c r="F47" s="5" t="s">
        <v>253</v>
      </c>
      <c r="G47" s="5" t="s">
        <v>50</v>
      </c>
      <c r="H47" s="11" t="str">
        <f>_xlfn.IFNA(VLOOKUP(F47,clientes!A:B,2,FALSE()),"--")</f>
        <v>Instituto Colombiano Para La Evaluacion De La Educacion ICFES</v>
      </c>
      <c r="I47" s="5" t="s">
        <v>71</v>
      </c>
      <c r="J47" s="12" t="s">
        <v>254</v>
      </c>
      <c r="K47" s="4" t="s">
        <v>255</v>
      </c>
      <c r="L47" s="10" t="s">
        <v>134</v>
      </c>
      <c r="M47" s="10" t="s">
        <v>135</v>
      </c>
      <c r="N47" s="10" t="s">
        <v>201</v>
      </c>
      <c r="O47" s="4" t="s">
        <v>256</v>
      </c>
      <c r="P47" s="11" t="s">
        <v>77</v>
      </c>
      <c r="Q47" s="11" t="s">
        <v>36</v>
      </c>
      <c r="R47" s="23" t="s">
        <v>257</v>
      </c>
      <c r="S47" s="10" t="s">
        <v>37</v>
      </c>
      <c r="U47" s="4" t="s">
        <v>38</v>
      </c>
      <c r="V47" s="4" t="s">
        <v>38</v>
      </c>
      <c r="W47" s="4" t="s">
        <v>38</v>
      </c>
    </row>
    <row r="48" spans="1:23" ht="39.6" hidden="1">
      <c r="A48" s="22" t="s">
        <v>261</v>
      </c>
      <c r="B48" s="5" t="s">
        <v>262</v>
      </c>
      <c r="C48" s="11" t="str">
        <f t="shared" si="1"/>
        <v>UNA - Laboratorios Virtuales - Cloud</v>
      </c>
      <c r="D48" s="5" t="s">
        <v>263</v>
      </c>
      <c r="E48" s="5" t="s">
        <v>68</v>
      </c>
      <c r="F48" s="5" t="s">
        <v>192</v>
      </c>
      <c r="G48" s="4" t="s">
        <v>70</v>
      </c>
      <c r="H48" s="11" t="str">
        <f>_xlfn.IFNA(VLOOKUP(F48,clientes!A:B,2,FALSE()),"--")</f>
        <v>Universidad Nacional de Colombia</v>
      </c>
      <c r="I48" s="5" t="s">
        <v>33</v>
      </c>
      <c r="J48" s="12" t="s">
        <v>193</v>
      </c>
      <c r="K48" s="4" t="s">
        <v>264</v>
      </c>
      <c r="L48" s="4" t="s">
        <v>53</v>
      </c>
      <c r="M48" s="10" t="s">
        <v>95</v>
      </c>
      <c r="N48" s="10" t="s">
        <v>136</v>
      </c>
      <c r="O48" s="4" t="s">
        <v>137</v>
      </c>
      <c r="P48" s="11" t="s">
        <v>77</v>
      </c>
      <c r="Q48" s="11" t="s">
        <v>36</v>
      </c>
      <c r="R48" s="22">
        <v>55195</v>
      </c>
      <c r="S48" s="4" t="s">
        <v>138</v>
      </c>
      <c r="U48" s="4" t="s">
        <v>38</v>
      </c>
      <c r="V48" s="4" t="s">
        <v>38</v>
      </c>
      <c r="W48" s="4" t="s">
        <v>38</v>
      </c>
    </row>
    <row r="49" spans="1:23" ht="39.6" hidden="1">
      <c r="A49" s="22" t="s">
        <v>265</v>
      </c>
      <c r="B49" s="5" t="s">
        <v>266</v>
      </c>
      <c r="C49" s="11" t="str">
        <f t="shared" si="1"/>
        <v>UNA - Editorial de UNAL - Cloud</v>
      </c>
      <c r="D49" s="5" t="s">
        <v>267</v>
      </c>
      <c r="E49" s="5" t="s">
        <v>68</v>
      </c>
      <c r="F49" s="5" t="s">
        <v>192</v>
      </c>
      <c r="G49" s="4" t="s">
        <v>70</v>
      </c>
      <c r="H49" s="11" t="str">
        <f>_xlfn.IFNA(VLOOKUP(F49,clientes!A:B,2,FALSE()),"--")</f>
        <v>Universidad Nacional de Colombia</v>
      </c>
      <c r="I49" s="5" t="s">
        <v>33</v>
      </c>
      <c r="J49" s="12" t="s">
        <v>193</v>
      </c>
      <c r="K49" s="19" t="s">
        <v>268</v>
      </c>
      <c r="L49" s="4" t="s">
        <v>53</v>
      </c>
      <c r="M49" s="10" t="s">
        <v>95</v>
      </c>
      <c r="N49" s="10" t="s">
        <v>136</v>
      </c>
      <c r="O49" s="4" t="s">
        <v>137</v>
      </c>
      <c r="P49" s="11" t="s">
        <v>35</v>
      </c>
      <c r="Q49" s="11" t="s">
        <v>36</v>
      </c>
      <c r="R49" s="22">
        <v>55185</v>
      </c>
      <c r="S49" s="10" t="s">
        <v>37</v>
      </c>
      <c r="U49" s="4" t="s">
        <v>38</v>
      </c>
      <c r="V49" s="4" t="s">
        <v>38</v>
      </c>
      <c r="W49" s="4" t="s">
        <v>38</v>
      </c>
    </row>
    <row r="50" spans="1:23" ht="39.6" hidden="1">
      <c r="A50" s="22" t="s">
        <v>269</v>
      </c>
      <c r="B50" s="5" t="s">
        <v>270</v>
      </c>
      <c r="C50" s="11" t="str">
        <f t="shared" si="1"/>
        <v>UNA - Repositorio - Cloud</v>
      </c>
      <c r="D50" s="5" t="s">
        <v>271</v>
      </c>
      <c r="E50" s="5" t="s">
        <v>68</v>
      </c>
      <c r="F50" s="5" t="s">
        <v>192</v>
      </c>
      <c r="G50" s="4" t="s">
        <v>70</v>
      </c>
      <c r="H50" s="11" t="str">
        <f>_xlfn.IFNA(VLOOKUP(F50,clientes!A:B,2,FALSE()),"--")</f>
        <v>Universidad Nacional de Colombia</v>
      </c>
      <c r="I50" s="5" t="s">
        <v>33</v>
      </c>
      <c r="J50" s="12" t="s">
        <v>193</v>
      </c>
      <c r="K50" s="19" t="s">
        <v>194</v>
      </c>
      <c r="L50" s="4" t="s">
        <v>53</v>
      </c>
      <c r="M50" s="10" t="s">
        <v>95</v>
      </c>
      <c r="N50" s="10" t="s">
        <v>136</v>
      </c>
      <c r="O50" s="4" t="s">
        <v>137</v>
      </c>
      <c r="P50" s="11" t="s">
        <v>35</v>
      </c>
      <c r="Q50" s="11" t="s">
        <v>36</v>
      </c>
      <c r="R50" s="22">
        <v>55200</v>
      </c>
      <c r="S50" s="10" t="s">
        <v>37</v>
      </c>
      <c r="U50" s="4" t="s">
        <v>38</v>
      </c>
      <c r="V50" s="4" t="s">
        <v>38</v>
      </c>
      <c r="W50" s="4" t="s">
        <v>38</v>
      </c>
    </row>
    <row r="51" spans="1:23" ht="39.6" hidden="1">
      <c r="A51" s="22" t="s">
        <v>272</v>
      </c>
      <c r="B51" s="5" t="s">
        <v>273</v>
      </c>
      <c r="C51" s="11" t="str">
        <f t="shared" si="1"/>
        <v>UNA - HPC Registro y Matrícula - Cloud</v>
      </c>
      <c r="D51" s="5" t="s">
        <v>274</v>
      </c>
      <c r="E51" s="5" t="s">
        <v>68</v>
      </c>
      <c r="F51" s="5" t="s">
        <v>192</v>
      </c>
      <c r="G51" s="4" t="s">
        <v>70</v>
      </c>
      <c r="H51" s="11" t="str">
        <f>_xlfn.IFNA(VLOOKUP(F51,clientes!A:B,2,FALSE()),"--")</f>
        <v>Universidad Nacional de Colombia</v>
      </c>
      <c r="I51" s="5" t="s">
        <v>33</v>
      </c>
      <c r="J51" s="12" t="s">
        <v>193</v>
      </c>
      <c r="K51" s="19" t="s">
        <v>275</v>
      </c>
      <c r="L51" s="4" t="s">
        <v>53</v>
      </c>
      <c r="M51" s="10" t="s">
        <v>95</v>
      </c>
      <c r="N51" s="10" t="s">
        <v>136</v>
      </c>
      <c r="O51" s="4" t="s">
        <v>137</v>
      </c>
      <c r="P51" s="11" t="s">
        <v>35</v>
      </c>
      <c r="Q51" s="11" t="s">
        <v>36</v>
      </c>
      <c r="R51" s="22">
        <v>55194</v>
      </c>
      <c r="S51" s="10" t="s">
        <v>37</v>
      </c>
      <c r="U51" s="4" t="s">
        <v>38</v>
      </c>
      <c r="V51" s="4" t="s">
        <v>38</v>
      </c>
      <c r="W51" s="4" t="s">
        <v>38</v>
      </c>
    </row>
    <row r="52" spans="1:23" ht="39.6" hidden="1">
      <c r="A52" s="23" t="s">
        <v>276</v>
      </c>
      <c r="B52" s="5" t="s">
        <v>277</v>
      </c>
      <c r="C52" s="11" t="str">
        <f t="shared" si="1"/>
        <v>MTC - Ciudades y territorios inteligentes Mintic - Ret</v>
      </c>
      <c r="D52" s="5" t="s">
        <v>278</v>
      </c>
      <c r="E52" s="5" t="s">
        <v>60</v>
      </c>
      <c r="F52" s="5" t="s">
        <v>279</v>
      </c>
      <c r="G52" s="5" t="s">
        <v>61</v>
      </c>
      <c r="H52" s="11" t="str">
        <f>_xlfn.IFNA(VLOOKUP(F52,clientes!A:B,2,FALSE()),"--")</f>
        <v>MinTic</v>
      </c>
      <c r="I52" s="5" t="s">
        <v>71</v>
      </c>
      <c r="J52" s="12" t="s">
        <v>280</v>
      </c>
      <c r="K52" s="19" t="s">
        <v>281</v>
      </c>
      <c r="L52" s="10" t="s">
        <v>282</v>
      </c>
      <c r="M52" s="10" t="s">
        <v>74</v>
      </c>
      <c r="N52" s="10" t="s">
        <v>136</v>
      </c>
      <c r="O52" s="4" t="s">
        <v>137</v>
      </c>
      <c r="P52" s="11" t="s">
        <v>77</v>
      </c>
      <c r="Q52" s="11" t="s">
        <v>36</v>
      </c>
      <c r="R52" s="23" t="s">
        <v>283</v>
      </c>
      <c r="S52" s="10" t="s">
        <v>64</v>
      </c>
      <c r="U52" s="4" t="s">
        <v>38</v>
      </c>
      <c r="V52" s="4" t="s">
        <v>38</v>
      </c>
      <c r="W52" s="4" t="s">
        <v>38</v>
      </c>
    </row>
    <row r="53" spans="1:23" ht="39.6" hidden="1">
      <c r="A53" s="23" t="s">
        <v>284</v>
      </c>
      <c r="B53" s="5" t="s">
        <v>277</v>
      </c>
      <c r="C53" s="11" t="str">
        <f t="shared" si="1"/>
        <v>MTC - Ciudades y territorios inteligentes Mintic - Fixed</v>
      </c>
      <c r="D53" s="5" t="s">
        <v>278</v>
      </c>
      <c r="E53" s="5" t="s">
        <v>80</v>
      </c>
      <c r="F53" s="5" t="s">
        <v>279</v>
      </c>
      <c r="G53" s="5" t="s">
        <v>81</v>
      </c>
      <c r="H53" s="11" t="str">
        <f>_xlfn.IFNA(VLOOKUP(F53,clientes!A:B,2,FALSE()),"--")</f>
        <v>MinTic</v>
      </c>
      <c r="I53" s="5" t="s">
        <v>71</v>
      </c>
      <c r="J53" s="12" t="s">
        <v>280</v>
      </c>
      <c r="K53" s="19" t="s">
        <v>281</v>
      </c>
      <c r="L53" s="10" t="s">
        <v>282</v>
      </c>
      <c r="M53" s="10" t="s">
        <v>74</v>
      </c>
      <c r="N53" s="10" t="s">
        <v>136</v>
      </c>
      <c r="O53" s="4" t="s">
        <v>137</v>
      </c>
      <c r="P53" s="11" t="s">
        <v>77</v>
      </c>
      <c r="Q53" s="11" t="s">
        <v>36</v>
      </c>
      <c r="R53" s="23" t="s">
        <v>283</v>
      </c>
      <c r="S53" s="10" t="s">
        <v>138</v>
      </c>
      <c r="U53" s="4" t="s">
        <v>38</v>
      </c>
      <c r="V53" s="4" t="s">
        <v>38</v>
      </c>
      <c r="W53" s="4" t="s">
        <v>38</v>
      </c>
    </row>
    <row r="54" spans="1:23" ht="39.6" hidden="1">
      <c r="A54" s="23" t="s">
        <v>285</v>
      </c>
      <c r="B54" s="5" t="s">
        <v>277</v>
      </c>
      <c r="C54" s="11" t="str">
        <f t="shared" si="1"/>
        <v>MTC - Ciudades y territorios inteligentes Mintic - Cloud</v>
      </c>
      <c r="D54" s="5" t="s">
        <v>278</v>
      </c>
      <c r="E54" s="5" t="s">
        <v>68</v>
      </c>
      <c r="F54" s="5" t="s">
        <v>279</v>
      </c>
      <c r="G54" s="4" t="s">
        <v>70</v>
      </c>
      <c r="H54" s="11" t="str">
        <f>_xlfn.IFNA(VLOOKUP(F54,clientes!A:B,2,FALSE()),"--")</f>
        <v>MinTic</v>
      </c>
      <c r="I54" s="5" t="s">
        <v>71</v>
      </c>
      <c r="J54" s="12" t="s">
        <v>280</v>
      </c>
      <c r="K54" s="19" t="s">
        <v>281</v>
      </c>
      <c r="L54" s="10" t="s">
        <v>282</v>
      </c>
      <c r="M54" s="10" t="s">
        <v>74</v>
      </c>
      <c r="N54" s="10" t="s">
        <v>136</v>
      </c>
      <c r="O54" s="4" t="s">
        <v>137</v>
      </c>
      <c r="P54" s="11" t="s">
        <v>77</v>
      </c>
      <c r="Q54" s="11" t="s">
        <v>36</v>
      </c>
      <c r="R54" s="23" t="s">
        <v>283</v>
      </c>
      <c r="S54" s="10" t="s">
        <v>37</v>
      </c>
      <c r="U54" s="4" t="s">
        <v>38</v>
      </c>
      <c r="V54" s="4" t="s">
        <v>38</v>
      </c>
      <c r="W54" s="4" t="s">
        <v>38</v>
      </c>
    </row>
    <row r="55" spans="1:23" ht="26.45" hidden="1">
      <c r="A55" s="23" t="s">
        <v>286</v>
      </c>
      <c r="B55" s="5" t="s">
        <v>287</v>
      </c>
      <c r="C55" s="11" t="str">
        <f t="shared" si="1"/>
        <v>MTC - Microcentros AI - Ret</v>
      </c>
      <c r="D55" s="5" t="s">
        <v>288</v>
      </c>
      <c r="E55" s="5" t="s">
        <v>60</v>
      </c>
      <c r="F55" s="5" t="s">
        <v>279</v>
      </c>
      <c r="G55" s="5" t="s">
        <v>61</v>
      </c>
      <c r="H55" s="11" t="str">
        <f>_xlfn.IFNA(VLOOKUP(F55,clientes!A:B,2,FALSE()),"--")</f>
        <v>MinTic</v>
      </c>
      <c r="I55" s="5" t="s">
        <v>71</v>
      </c>
      <c r="J55" s="12" t="s">
        <v>280</v>
      </c>
      <c r="K55" s="19" t="s">
        <v>289</v>
      </c>
      <c r="L55" s="10" t="s">
        <v>282</v>
      </c>
      <c r="M55" s="10" t="s">
        <v>74</v>
      </c>
      <c r="N55" s="10" t="s">
        <v>75</v>
      </c>
      <c r="O55" s="4" t="s">
        <v>96</v>
      </c>
      <c r="P55" s="11" t="s">
        <v>77</v>
      </c>
      <c r="Q55" s="11" t="s">
        <v>36</v>
      </c>
      <c r="R55" s="23" t="s">
        <v>290</v>
      </c>
      <c r="S55" s="10" t="s">
        <v>64</v>
      </c>
      <c r="U55" s="4" t="s">
        <v>38</v>
      </c>
      <c r="V55" s="4" t="s">
        <v>38</v>
      </c>
      <c r="W55" s="4" t="s">
        <v>38</v>
      </c>
    </row>
    <row r="56" spans="1:23" ht="26.45" hidden="1">
      <c r="A56" s="23" t="s">
        <v>291</v>
      </c>
      <c r="B56" s="5" t="s">
        <v>287</v>
      </c>
      <c r="C56" s="11" t="str">
        <f t="shared" si="1"/>
        <v>MTC - Microcentros AI - Cloud</v>
      </c>
      <c r="D56" s="5" t="s">
        <v>288</v>
      </c>
      <c r="E56" s="5" t="s">
        <v>68</v>
      </c>
      <c r="F56" s="5" t="s">
        <v>279</v>
      </c>
      <c r="G56" s="4" t="s">
        <v>70</v>
      </c>
      <c r="H56" s="11" t="str">
        <f>_xlfn.IFNA(VLOOKUP(F56,clientes!A:B,2,FALSE()),"--")</f>
        <v>MinTic</v>
      </c>
      <c r="I56" s="5" t="s">
        <v>71</v>
      </c>
      <c r="J56" s="12" t="s">
        <v>280</v>
      </c>
      <c r="K56" s="19" t="s">
        <v>289</v>
      </c>
      <c r="L56" s="10" t="s">
        <v>282</v>
      </c>
      <c r="M56" s="10" t="s">
        <v>74</v>
      </c>
      <c r="N56" s="10" t="s">
        <v>75</v>
      </c>
      <c r="O56" s="4" t="s">
        <v>96</v>
      </c>
      <c r="P56" s="11" t="s">
        <v>77</v>
      </c>
      <c r="Q56" s="11" t="s">
        <v>36</v>
      </c>
      <c r="R56" s="23" t="s">
        <v>290</v>
      </c>
      <c r="S56" s="10" t="s">
        <v>37</v>
      </c>
      <c r="U56" s="4" t="s">
        <v>38</v>
      </c>
      <c r="V56" s="4" t="s">
        <v>38</v>
      </c>
      <c r="W56" s="4" t="s">
        <v>38</v>
      </c>
    </row>
    <row r="57" spans="1:23" ht="26.45" hidden="1">
      <c r="A57" s="22" t="s">
        <v>292</v>
      </c>
      <c r="B57" s="5" t="s">
        <v>293</v>
      </c>
      <c r="C57" s="11" t="str">
        <f t="shared" si="1"/>
        <v>SAN - Soporte y Mantenimiento Quipu 2024-25 - Ret</v>
      </c>
      <c r="D57" s="5" t="s">
        <v>294</v>
      </c>
      <c r="E57" s="5" t="s">
        <v>60</v>
      </c>
      <c r="F57" s="5" t="s">
        <v>295</v>
      </c>
      <c r="G57" s="5" t="s">
        <v>61</v>
      </c>
      <c r="H57" s="11" t="str">
        <f>_xlfn.IFNA(VLOOKUP(F57,clientes!A:B,2,FALSE()),"--")</f>
        <v>Sanidad</v>
      </c>
      <c r="I57" s="5" t="s">
        <v>71</v>
      </c>
      <c r="J57" s="6" t="s">
        <v>296</v>
      </c>
      <c r="K57" s="4" t="s">
        <v>297</v>
      </c>
      <c r="L57" s="10" t="s">
        <v>134</v>
      </c>
      <c r="M57" s="10" t="s">
        <v>145</v>
      </c>
      <c r="N57" s="10" t="s">
        <v>55</v>
      </c>
      <c r="O57" s="4" t="s">
        <v>298</v>
      </c>
      <c r="P57" s="11" t="s">
        <v>77</v>
      </c>
      <c r="Q57" s="11" t="s">
        <v>299</v>
      </c>
      <c r="R57" s="22">
        <v>55171</v>
      </c>
      <c r="S57" s="10" t="s">
        <v>64</v>
      </c>
      <c r="U57" s="4" t="s">
        <v>38</v>
      </c>
      <c r="V57" s="4" t="s">
        <v>38</v>
      </c>
      <c r="W57" s="4" t="s">
        <v>38</v>
      </c>
    </row>
    <row r="58" spans="1:23" ht="39.6" hidden="1">
      <c r="A58" s="23" t="s">
        <v>300</v>
      </c>
      <c r="B58" s="5" t="s">
        <v>301</v>
      </c>
      <c r="C58" s="11" t="str">
        <f t="shared" si="1"/>
        <v>SDH - Datalake Secretaria del Hábitat - Ret SW</v>
      </c>
      <c r="D58" s="5" t="s">
        <v>302</v>
      </c>
      <c r="E58" s="5" t="s">
        <v>48</v>
      </c>
      <c r="F58" s="5" t="s">
        <v>303</v>
      </c>
      <c r="G58" s="5" t="s">
        <v>50</v>
      </c>
      <c r="H58" s="11" t="str">
        <f>_xlfn.IFNA(VLOOKUP(F58,clientes!A:B,2,FALSE()),"--")</f>
        <v>Secretaria Distrital del Hábitat</v>
      </c>
      <c r="I58" s="5" t="s">
        <v>71</v>
      </c>
      <c r="J58" s="6" t="s">
        <v>304</v>
      </c>
      <c r="K58" s="4" t="s">
        <v>305</v>
      </c>
      <c r="L58" s="10" t="s">
        <v>124</v>
      </c>
      <c r="M58" s="10" t="s">
        <v>95</v>
      </c>
      <c r="N58" s="10" t="s">
        <v>201</v>
      </c>
      <c r="O58" s="4" t="s">
        <v>256</v>
      </c>
      <c r="P58" s="11" t="s">
        <v>77</v>
      </c>
      <c r="Q58" s="11" t="s">
        <v>36</v>
      </c>
      <c r="R58" s="23" t="s">
        <v>306</v>
      </c>
      <c r="S58" s="10" t="s">
        <v>37</v>
      </c>
      <c r="U58" s="4" t="s">
        <v>38</v>
      </c>
      <c r="V58" s="4" t="s">
        <v>38</v>
      </c>
      <c r="W58" s="4" t="s">
        <v>38</v>
      </c>
    </row>
    <row r="59" spans="1:23" ht="39.6" hidden="1">
      <c r="A59" s="23" t="s">
        <v>307</v>
      </c>
      <c r="B59" s="5" t="s">
        <v>301</v>
      </c>
      <c r="C59" s="11" t="str">
        <f t="shared" si="1"/>
        <v>SDH - Datalake Secretaria del Hábitat - Cloud</v>
      </c>
      <c r="D59" s="5" t="s">
        <v>302</v>
      </c>
      <c r="E59" s="5" t="s">
        <v>68</v>
      </c>
      <c r="F59" s="5" t="s">
        <v>303</v>
      </c>
      <c r="G59" s="4" t="s">
        <v>70</v>
      </c>
      <c r="H59" s="11" t="str">
        <f>_xlfn.IFNA(VLOOKUP(F59,clientes!A:B,2,FALSE()),"--")</f>
        <v>Secretaria Distrital del Hábitat</v>
      </c>
      <c r="I59" s="5" t="s">
        <v>71</v>
      </c>
      <c r="J59" s="6" t="s">
        <v>304</v>
      </c>
      <c r="K59" s="4" t="s">
        <v>305</v>
      </c>
      <c r="L59" s="10" t="s">
        <v>124</v>
      </c>
      <c r="M59" s="10" t="s">
        <v>95</v>
      </c>
      <c r="N59" s="10" t="s">
        <v>201</v>
      </c>
      <c r="O59" s="4" t="s">
        <v>256</v>
      </c>
      <c r="P59" s="11" t="s">
        <v>77</v>
      </c>
      <c r="Q59" s="11" t="s">
        <v>36</v>
      </c>
      <c r="R59" s="23" t="s">
        <v>306</v>
      </c>
      <c r="S59" s="10" t="s">
        <v>37</v>
      </c>
      <c r="U59" s="4" t="s">
        <v>38</v>
      </c>
      <c r="V59" s="4" t="s">
        <v>38</v>
      </c>
      <c r="W59" s="4" t="s">
        <v>38</v>
      </c>
    </row>
    <row r="60" spans="1:23" ht="39.6" hidden="1">
      <c r="A60" s="23" t="s">
        <v>308</v>
      </c>
      <c r="B60" s="5" t="s">
        <v>301</v>
      </c>
      <c r="C60" s="11" t="str">
        <f t="shared" si="1"/>
        <v>SDH - Datalake Secretaria del Hábitat - Ret</v>
      </c>
      <c r="D60" s="5" t="s">
        <v>302</v>
      </c>
      <c r="E60" s="5" t="s">
        <v>60</v>
      </c>
      <c r="F60" s="5" t="s">
        <v>303</v>
      </c>
      <c r="G60" s="5" t="s">
        <v>61</v>
      </c>
      <c r="H60" s="11" t="str">
        <f>_xlfn.IFNA(VLOOKUP(F60,clientes!A:B,2,FALSE()),"--")</f>
        <v>Secretaria Distrital del Hábitat</v>
      </c>
      <c r="I60" s="5" t="s">
        <v>71</v>
      </c>
      <c r="J60" s="6" t="s">
        <v>304</v>
      </c>
      <c r="K60" s="4" t="s">
        <v>305</v>
      </c>
      <c r="L60" s="10" t="s">
        <v>124</v>
      </c>
      <c r="M60" s="10" t="s">
        <v>95</v>
      </c>
      <c r="N60" s="10" t="s">
        <v>201</v>
      </c>
      <c r="O60" s="4" t="s">
        <v>256</v>
      </c>
      <c r="P60" s="11" t="s">
        <v>77</v>
      </c>
      <c r="Q60" s="11" t="s">
        <v>36</v>
      </c>
      <c r="R60" s="23" t="s">
        <v>306</v>
      </c>
      <c r="S60" s="10" t="s">
        <v>64</v>
      </c>
      <c r="U60" s="4" t="s">
        <v>38</v>
      </c>
      <c r="V60" s="4" t="s">
        <v>38</v>
      </c>
      <c r="W60" s="4" t="s">
        <v>38</v>
      </c>
    </row>
    <row r="61" spans="1:23" ht="39.6" hidden="1">
      <c r="A61" s="23" t="s">
        <v>309</v>
      </c>
      <c r="B61" s="5" t="s">
        <v>310</v>
      </c>
      <c r="C61" s="11" t="str">
        <f t="shared" si="1"/>
        <v>SOC - IA Sociedades 2024-2025 - Cloud</v>
      </c>
      <c r="D61" s="5" t="s">
        <v>311</v>
      </c>
      <c r="E61" s="5" t="s">
        <v>68</v>
      </c>
      <c r="F61" s="5" t="s">
        <v>312</v>
      </c>
      <c r="G61" s="4" t="s">
        <v>70</v>
      </c>
      <c r="H61" s="11" t="str">
        <f>_xlfn.IFNA(VLOOKUP(F61,clientes!A:B,2,FALSE()),"--")</f>
        <v>Superintendencia de Sociedades</v>
      </c>
      <c r="I61" s="5" t="s">
        <v>71</v>
      </c>
      <c r="J61" s="12" t="s">
        <v>313</v>
      </c>
      <c r="K61" s="51" t="s">
        <v>314</v>
      </c>
      <c r="L61" s="4" t="s">
        <v>315</v>
      </c>
      <c r="M61" s="10" t="s">
        <v>145</v>
      </c>
      <c r="N61" s="10" t="s">
        <v>75</v>
      </c>
      <c r="O61" s="4" t="s">
        <v>56</v>
      </c>
      <c r="P61" s="11" t="s">
        <v>77</v>
      </c>
      <c r="Q61" s="54" t="s">
        <v>57</v>
      </c>
      <c r="R61" s="23" t="s">
        <v>316</v>
      </c>
      <c r="S61" s="10" t="s">
        <v>37</v>
      </c>
      <c r="U61" s="4" t="s">
        <v>38</v>
      </c>
      <c r="V61" s="4" t="s">
        <v>38</v>
      </c>
      <c r="W61" s="4" t="s">
        <v>38</v>
      </c>
    </row>
    <row r="62" spans="1:23" ht="39.6" hidden="1">
      <c r="A62" s="23" t="s">
        <v>317</v>
      </c>
      <c r="B62" s="5" t="s">
        <v>310</v>
      </c>
      <c r="C62" s="11" t="str">
        <f t="shared" si="1"/>
        <v>SOC - IA Sociedades 2024-2025 - Ret</v>
      </c>
      <c r="D62" s="5" t="s">
        <v>311</v>
      </c>
      <c r="E62" s="5" t="s">
        <v>60</v>
      </c>
      <c r="F62" s="5" t="s">
        <v>312</v>
      </c>
      <c r="G62" s="5" t="s">
        <v>61</v>
      </c>
      <c r="H62" s="11" t="str">
        <f>_xlfn.IFNA(VLOOKUP(F62,clientes!A:B,2,FALSE()),"--")</f>
        <v>Superintendencia de Sociedades</v>
      </c>
      <c r="I62" s="5" t="s">
        <v>71</v>
      </c>
      <c r="J62" s="12" t="s">
        <v>313</v>
      </c>
      <c r="K62" s="51" t="s">
        <v>314</v>
      </c>
      <c r="L62" s="4" t="s">
        <v>315</v>
      </c>
      <c r="M62" s="10" t="s">
        <v>145</v>
      </c>
      <c r="N62" s="10" t="s">
        <v>75</v>
      </c>
      <c r="O62" s="4" t="s">
        <v>56</v>
      </c>
      <c r="P62" s="11" t="s">
        <v>77</v>
      </c>
      <c r="Q62" s="54" t="s">
        <v>57</v>
      </c>
      <c r="R62" s="23" t="s">
        <v>316</v>
      </c>
      <c r="S62" s="10" t="s">
        <v>64</v>
      </c>
      <c r="U62" s="4" t="s">
        <v>38</v>
      </c>
      <c r="V62" s="4" t="s">
        <v>38</v>
      </c>
      <c r="W62" s="4" t="s">
        <v>38</v>
      </c>
    </row>
    <row r="63" spans="1:23" ht="52.9" hidden="1">
      <c r="A63" s="23" t="s">
        <v>318</v>
      </c>
      <c r="B63" s="5" t="s">
        <v>196</v>
      </c>
      <c r="C63" s="11" t="str">
        <f t="shared" si="1"/>
        <v>CJU - Sistema integrado de Secretaría Técnica - Fixed</v>
      </c>
      <c r="D63" s="5" t="s">
        <v>197</v>
      </c>
      <c r="E63" s="5" t="s">
        <v>80</v>
      </c>
      <c r="F63" s="5" t="s">
        <v>198</v>
      </c>
      <c r="G63" s="5" t="s">
        <v>81</v>
      </c>
      <c r="H63" s="11" t="str">
        <f>_xlfn.IFNA(VLOOKUP(F63,clientes!A:B,2,FALSE()),"--")</f>
        <v>Coljuegos</v>
      </c>
      <c r="I63" s="5" t="s">
        <v>71</v>
      </c>
      <c r="J63" s="12" t="s">
        <v>199</v>
      </c>
      <c r="K63" s="27" t="s">
        <v>200</v>
      </c>
      <c r="L63" s="10" t="s">
        <v>134</v>
      </c>
      <c r="M63" s="10" t="s">
        <v>74</v>
      </c>
      <c r="N63" s="10" t="s">
        <v>201</v>
      </c>
      <c r="O63" s="10" t="s">
        <v>202</v>
      </c>
      <c r="P63" s="11" t="s">
        <v>35</v>
      </c>
      <c r="Q63" s="11" t="s">
        <v>36</v>
      </c>
      <c r="R63" s="23" t="s">
        <v>203</v>
      </c>
      <c r="S63" s="10" t="s">
        <v>202</v>
      </c>
      <c r="U63" s="4" t="s">
        <v>204</v>
      </c>
      <c r="V63" s="4" t="s">
        <v>205</v>
      </c>
      <c r="W63" s="4" t="s">
        <v>38</v>
      </c>
    </row>
    <row r="64" spans="1:23" ht="52.9" hidden="1">
      <c r="A64" s="23" t="s">
        <v>319</v>
      </c>
      <c r="B64" s="5" t="s">
        <v>196</v>
      </c>
      <c r="C64" s="11" t="str">
        <f t="shared" si="1"/>
        <v>CJU - Sistema integrado de Secretaría Técnica - Ret SW</v>
      </c>
      <c r="D64" s="5" t="s">
        <v>197</v>
      </c>
      <c r="E64" s="5" t="s">
        <v>48</v>
      </c>
      <c r="F64" s="5" t="s">
        <v>198</v>
      </c>
      <c r="G64" s="5" t="s">
        <v>50</v>
      </c>
      <c r="H64" s="11" t="str">
        <f>_xlfn.IFNA(VLOOKUP(F64,clientes!A:B,2,FALSE()),"--")</f>
        <v>Coljuegos</v>
      </c>
      <c r="I64" s="5" t="s">
        <v>71</v>
      </c>
      <c r="J64" s="12" t="s">
        <v>199</v>
      </c>
      <c r="K64" s="27" t="s">
        <v>200</v>
      </c>
      <c r="L64" s="10" t="s">
        <v>134</v>
      </c>
      <c r="M64" s="10" t="s">
        <v>74</v>
      </c>
      <c r="N64" s="10" t="s">
        <v>201</v>
      </c>
      <c r="O64" s="4" t="s">
        <v>202</v>
      </c>
      <c r="P64" s="11" t="s">
        <v>35</v>
      </c>
      <c r="Q64" s="11" t="s">
        <v>36</v>
      </c>
      <c r="R64" s="23" t="s">
        <v>203</v>
      </c>
      <c r="S64" s="10" t="s">
        <v>37</v>
      </c>
      <c r="U64" s="4" t="s">
        <v>204</v>
      </c>
      <c r="V64" s="4" t="s">
        <v>205</v>
      </c>
      <c r="W64" s="4" t="s">
        <v>38</v>
      </c>
    </row>
    <row r="65" spans="1:26" ht="52.9" hidden="1">
      <c r="A65" s="23" t="s">
        <v>320</v>
      </c>
      <c r="B65" s="5" t="s">
        <v>196</v>
      </c>
      <c r="C65" s="11" t="str">
        <f t="shared" si="1"/>
        <v>CJU - Sistema integrado de Secretaría Técnica - Cloud</v>
      </c>
      <c r="D65" s="5" t="s">
        <v>197</v>
      </c>
      <c r="E65" s="5" t="s">
        <v>68</v>
      </c>
      <c r="F65" s="5" t="s">
        <v>198</v>
      </c>
      <c r="G65" s="4" t="s">
        <v>70</v>
      </c>
      <c r="H65" s="11" t="str">
        <f>_xlfn.IFNA(VLOOKUP(F65,clientes!A:B,2,FALSE()),"--")</f>
        <v>Coljuegos</v>
      </c>
      <c r="I65" s="5" t="s">
        <v>71</v>
      </c>
      <c r="J65" s="12" t="s">
        <v>199</v>
      </c>
      <c r="K65" s="27" t="s">
        <v>200</v>
      </c>
      <c r="L65" s="10" t="s">
        <v>134</v>
      </c>
      <c r="M65" s="10" t="s">
        <v>74</v>
      </c>
      <c r="N65" s="10" t="s">
        <v>201</v>
      </c>
      <c r="O65" s="4" t="s">
        <v>202</v>
      </c>
      <c r="P65" s="11" t="s">
        <v>35</v>
      </c>
      <c r="Q65" s="11" t="s">
        <v>36</v>
      </c>
      <c r="R65" s="23" t="s">
        <v>203</v>
      </c>
      <c r="S65" s="10" t="s">
        <v>37</v>
      </c>
      <c r="U65" s="4" t="s">
        <v>204</v>
      </c>
      <c r="V65" s="4" t="s">
        <v>205</v>
      </c>
      <c r="W65" s="4" t="s">
        <v>38</v>
      </c>
    </row>
    <row r="66" spans="1:26" ht="39.6" hidden="1">
      <c r="A66" s="23" t="s">
        <v>321</v>
      </c>
      <c r="B66" s="5" t="s">
        <v>322</v>
      </c>
      <c r="C66" s="11" t="str">
        <f t="shared" ref="C66:C97" si="2">F66&amp;" - "&amp;D66&amp;" - "&amp;E66</f>
        <v>FDN - Servicios profesionales Arquitectura - Fixed</v>
      </c>
      <c r="D66" s="5" t="s">
        <v>323</v>
      </c>
      <c r="E66" s="5" t="s">
        <v>80</v>
      </c>
      <c r="F66" s="5" t="s">
        <v>231</v>
      </c>
      <c r="G66" s="5" t="s">
        <v>81</v>
      </c>
      <c r="H66" s="11" t="str">
        <f>_xlfn.IFNA(VLOOKUP(F66,clientes!A:B,2,FALSE()),"--")</f>
        <v>Financiera de Desarrollo Nacional</v>
      </c>
      <c r="I66" s="5" t="s">
        <v>71</v>
      </c>
      <c r="J66" s="12" t="s">
        <v>232</v>
      </c>
      <c r="K66" s="19" t="s">
        <v>324</v>
      </c>
      <c r="L66" s="10" t="s">
        <v>124</v>
      </c>
      <c r="M66" s="10" t="s">
        <v>95</v>
      </c>
      <c r="N66" s="10" t="s">
        <v>136</v>
      </c>
      <c r="O66" s="4" t="s">
        <v>137</v>
      </c>
      <c r="P66" s="11" t="s">
        <v>35</v>
      </c>
      <c r="Q66" s="11" t="s">
        <v>36</v>
      </c>
      <c r="R66" s="23" t="s">
        <v>325</v>
      </c>
      <c r="S66" s="10" t="s">
        <v>64</v>
      </c>
      <c r="T66" s="4" t="s">
        <v>20</v>
      </c>
      <c r="U66" s="43" t="s">
        <v>326</v>
      </c>
      <c r="V66" s="48"/>
      <c r="W66" s="73" t="s">
        <v>38</v>
      </c>
      <c r="Y66" s="71" t="s">
        <v>327</v>
      </c>
      <c r="Z66" s="73"/>
    </row>
    <row r="67" spans="1:26" ht="26.45" hidden="1">
      <c r="A67" s="22" t="s">
        <v>328</v>
      </c>
      <c r="B67" s="5" t="s">
        <v>329</v>
      </c>
      <c r="C67" s="11" t="str">
        <f t="shared" si="2"/>
        <v>UCA - ODS 1512 - Soporte y Mtto Quipu 24-25 - Ret</v>
      </c>
      <c r="D67" s="5" t="s">
        <v>330</v>
      </c>
      <c r="E67" s="5" t="s">
        <v>60</v>
      </c>
      <c r="F67" s="5" t="s">
        <v>331</v>
      </c>
      <c r="G67" s="5" t="s">
        <v>61</v>
      </c>
      <c r="H67" s="11" t="str">
        <f>_xlfn.IFNA(VLOOKUP(F67,clientes!A:B,2,FALSE()),"--")</f>
        <v>Universidad de Caldas</v>
      </c>
      <c r="I67" s="5" t="s">
        <v>71</v>
      </c>
      <c r="J67" s="12" t="s">
        <v>332</v>
      </c>
      <c r="K67" s="4" t="s">
        <v>333</v>
      </c>
      <c r="L67" s="10" t="s">
        <v>73</v>
      </c>
      <c r="M67" s="10" t="s">
        <v>95</v>
      </c>
      <c r="N67" s="10" t="s">
        <v>75</v>
      </c>
      <c r="O67" s="4" t="s">
        <v>334</v>
      </c>
      <c r="P67" s="11" t="s">
        <v>77</v>
      </c>
      <c r="Q67" s="11" t="s">
        <v>335</v>
      </c>
      <c r="R67" s="22">
        <v>55181</v>
      </c>
      <c r="S67" s="4" t="s">
        <v>336</v>
      </c>
      <c r="U67" s="4" t="s">
        <v>38</v>
      </c>
      <c r="V67" s="4" t="s">
        <v>38</v>
      </c>
      <c r="W67" s="4" t="s">
        <v>38</v>
      </c>
    </row>
    <row r="68" spans="1:26" ht="79.150000000000006" hidden="1">
      <c r="A68" s="23" t="s">
        <v>337</v>
      </c>
      <c r="B68" s="5" t="s">
        <v>338</v>
      </c>
      <c r="C68" s="11" t="str">
        <f t="shared" si="2"/>
        <v>MMN - Cloud Sistema de Recaudo - Fixed</v>
      </c>
      <c r="D68" s="5" t="s">
        <v>339</v>
      </c>
      <c r="E68" s="5" t="s">
        <v>80</v>
      </c>
      <c r="F68" s="5" t="s">
        <v>340</v>
      </c>
      <c r="G68" s="5" t="s">
        <v>81</v>
      </c>
      <c r="H68" s="11" t="str">
        <f>_xlfn.IFNA(VLOOKUP(F68,clientes!A:B,2,FALSE()),"--")</f>
        <v>Empresa De Transporte Masivo Del Valle De Aburrá Limitada</v>
      </c>
      <c r="I68" s="5" t="s">
        <v>33</v>
      </c>
      <c r="J68" s="6" t="s">
        <v>341</v>
      </c>
      <c r="K68" s="19" t="s">
        <v>342</v>
      </c>
      <c r="L68" s="10" t="s">
        <v>282</v>
      </c>
      <c r="M68" s="10" t="s">
        <v>157</v>
      </c>
      <c r="N68" s="10" t="s">
        <v>136</v>
      </c>
      <c r="O68" s="4" t="s">
        <v>137</v>
      </c>
      <c r="P68" s="11" t="s">
        <v>35</v>
      </c>
      <c r="Q68" s="11" t="s">
        <v>36</v>
      </c>
      <c r="R68" s="23" t="s">
        <v>343</v>
      </c>
      <c r="S68" s="4" t="s">
        <v>138</v>
      </c>
      <c r="U68" s="4" t="s">
        <v>38</v>
      </c>
      <c r="V68" s="4" t="s">
        <v>38</v>
      </c>
      <c r="W68" s="4" t="s">
        <v>344</v>
      </c>
    </row>
    <row r="69" spans="1:26" ht="14.45" hidden="1" customHeight="1">
      <c r="A69" s="23" t="s">
        <v>345</v>
      </c>
      <c r="B69" s="5" t="s">
        <v>338</v>
      </c>
      <c r="C69" s="11" t="str">
        <f t="shared" si="2"/>
        <v>MMN - Cloud Sistema de Recaudo - Cloud</v>
      </c>
      <c r="D69" s="5" t="s">
        <v>339</v>
      </c>
      <c r="E69" s="5" t="s">
        <v>68</v>
      </c>
      <c r="F69" s="5" t="s">
        <v>340</v>
      </c>
      <c r="G69" s="4" t="s">
        <v>70</v>
      </c>
      <c r="H69" s="11" t="str">
        <f>_xlfn.IFNA(VLOOKUP(F69,clientes!A:B,2,FALSE()),"--")</f>
        <v>Empresa De Transporte Masivo Del Valle De Aburrá Limitada</v>
      </c>
      <c r="I69" s="5" t="s">
        <v>33</v>
      </c>
      <c r="J69" s="6" t="s">
        <v>341</v>
      </c>
      <c r="K69" s="19" t="s">
        <v>342</v>
      </c>
      <c r="L69" s="10" t="s">
        <v>282</v>
      </c>
      <c r="M69" s="10" t="s">
        <v>157</v>
      </c>
      <c r="N69" s="10" t="s">
        <v>136</v>
      </c>
      <c r="O69" s="4" t="s">
        <v>137</v>
      </c>
      <c r="P69" s="11" t="s">
        <v>35</v>
      </c>
      <c r="Q69" s="11" t="s">
        <v>36</v>
      </c>
      <c r="R69" s="23" t="s">
        <v>343</v>
      </c>
      <c r="S69" s="10" t="s">
        <v>37</v>
      </c>
      <c r="U69" s="4" t="s">
        <v>38</v>
      </c>
      <c r="V69" s="4" t="s">
        <v>38</v>
      </c>
      <c r="W69" s="4" t="s">
        <v>344</v>
      </c>
    </row>
    <row r="70" spans="1:26" ht="79.150000000000006" hidden="1">
      <c r="A70" s="23" t="s">
        <v>346</v>
      </c>
      <c r="B70" s="5" t="s">
        <v>338</v>
      </c>
      <c r="C70" s="11" t="str">
        <f t="shared" si="2"/>
        <v>MMN - Cloud Sistema de Recaudo - Ret Other Vendors</v>
      </c>
      <c r="D70" s="5" t="s">
        <v>339</v>
      </c>
      <c r="E70" s="5" t="s">
        <v>347</v>
      </c>
      <c r="F70" s="5" t="s">
        <v>340</v>
      </c>
      <c r="G70" s="5" t="s">
        <v>61</v>
      </c>
      <c r="H70" s="11" t="str">
        <f>_xlfn.IFNA(VLOOKUP(F70,clientes!A:B,2,FALSE()),"--")</f>
        <v>Empresa De Transporte Masivo Del Valle De Aburrá Limitada</v>
      </c>
      <c r="I70" s="5" t="s">
        <v>33</v>
      </c>
      <c r="J70" s="6" t="s">
        <v>341</v>
      </c>
      <c r="K70" s="19" t="s">
        <v>342</v>
      </c>
      <c r="L70" s="10" t="s">
        <v>282</v>
      </c>
      <c r="M70" s="10" t="s">
        <v>157</v>
      </c>
      <c r="N70" s="10" t="s">
        <v>136</v>
      </c>
      <c r="O70" s="4" t="s">
        <v>137</v>
      </c>
      <c r="P70" s="11" t="s">
        <v>35</v>
      </c>
      <c r="Q70" s="11" t="s">
        <v>36</v>
      </c>
      <c r="R70" s="23" t="s">
        <v>348</v>
      </c>
      <c r="S70" s="10" t="s">
        <v>37</v>
      </c>
      <c r="T70"/>
      <c r="U70" s="4" t="s">
        <v>38</v>
      </c>
      <c r="V70" s="4" t="s">
        <v>38</v>
      </c>
      <c r="W70" s="4" t="s">
        <v>344</v>
      </c>
    </row>
    <row r="71" spans="1:26" ht="79.150000000000006" hidden="1">
      <c r="A71" s="23" t="s">
        <v>349</v>
      </c>
      <c r="B71" s="5" t="s">
        <v>338</v>
      </c>
      <c r="C71" s="11" t="str">
        <f t="shared" si="2"/>
        <v xml:space="preserve">MMN - Cloud Sistema de Recaudo - Ret </v>
      </c>
      <c r="D71" s="5" t="s">
        <v>339</v>
      </c>
      <c r="E71" s="5" t="s">
        <v>350</v>
      </c>
      <c r="F71" s="5" t="s">
        <v>340</v>
      </c>
      <c r="G71" s="5" t="s">
        <v>61</v>
      </c>
      <c r="H71" s="11" t="str">
        <f>_xlfn.IFNA(VLOOKUP(F71,clientes!A:B,2,FALSE()),"--")</f>
        <v>Empresa De Transporte Masivo Del Valle De Aburrá Limitada</v>
      </c>
      <c r="I71" s="5" t="s">
        <v>33</v>
      </c>
      <c r="J71" t="s">
        <v>341</v>
      </c>
      <c r="K71" s="19" t="s">
        <v>342</v>
      </c>
      <c r="L71" s="10" t="s">
        <v>282</v>
      </c>
      <c r="M71" s="10" t="s">
        <v>157</v>
      </c>
      <c r="N71" s="10" t="s">
        <v>136</v>
      </c>
      <c r="O71" s="4" t="s">
        <v>137</v>
      </c>
      <c r="P71" s="11" t="s">
        <v>35</v>
      </c>
      <c r="Q71" s="11" t="s">
        <v>36</v>
      </c>
      <c r="R71" s="23" t="s">
        <v>351</v>
      </c>
      <c r="S71" s="10" t="s">
        <v>37</v>
      </c>
      <c r="T71"/>
      <c r="U71" s="4" t="s">
        <v>38</v>
      </c>
      <c r="V71" s="4" t="s">
        <v>38</v>
      </c>
      <c r="W71" s="4" t="s">
        <v>344</v>
      </c>
    </row>
    <row r="72" spans="1:26" ht="52.9" hidden="1">
      <c r="A72" s="23" t="s">
        <v>352</v>
      </c>
      <c r="B72" s="5" t="s">
        <v>353</v>
      </c>
      <c r="C72" s="11" t="str">
        <f t="shared" si="2"/>
        <v>SPD - Repositorio Único de Datos - Fixed</v>
      </c>
      <c r="D72" s="5" t="s">
        <v>354</v>
      </c>
      <c r="E72" s="5" t="s">
        <v>80</v>
      </c>
      <c r="F72" s="5" t="s">
        <v>355</v>
      </c>
      <c r="G72" s="5" t="s">
        <v>81</v>
      </c>
      <c r="H72" s="11" t="str">
        <f>_xlfn.IFNA(VLOOKUP(F72,clientes!A:B,2,FALSE()),"--")</f>
        <v>Superintendencia Servicios Públicos Domiciliarios</v>
      </c>
      <c r="I72" s="5" t="s">
        <v>71</v>
      </c>
      <c r="J72" s="12" t="s">
        <v>356</v>
      </c>
      <c r="K72" s="19" t="s">
        <v>357</v>
      </c>
      <c r="L72" s="10" t="s">
        <v>358</v>
      </c>
      <c r="M72" s="10" t="s">
        <v>135</v>
      </c>
      <c r="N72" s="10" t="s">
        <v>201</v>
      </c>
      <c r="O72" s="4" t="s">
        <v>359</v>
      </c>
      <c r="P72" s="11" t="s">
        <v>35</v>
      </c>
      <c r="Q72" s="11" t="s">
        <v>36</v>
      </c>
      <c r="R72" s="23" t="s">
        <v>360</v>
      </c>
      <c r="S72" s="4" t="s">
        <v>359</v>
      </c>
      <c r="U72" s="4" t="s">
        <v>38</v>
      </c>
      <c r="V72" s="4" t="s">
        <v>38</v>
      </c>
      <c r="W72" s="4" t="s">
        <v>38</v>
      </c>
    </row>
    <row r="73" spans="1:26" ht="52.9" hidden="1">
      <c r="A73" s="23" t="s">
        <v>361</v>
      </c>
      <c r="B73" s="5" t="s">
        <v>353</v>
      </c>
      <c r="C73" s="11" t="str">
        <f t="shared" si="2"/>
        <v>SPD - Repositorio Único de Datos - Ret SW</v>
      </c>
      <c r="D73" s="5" t="s">
        <v>354</v>
      </c>
      <c r="E73" s="5" t="s">
        <v>48</v>
      </c>
      <c r="F73" s="5" t="s">
        <v>355</v>
      </c>
      <c r="G73" s="5" t="s">
        <v>50</v>
      </c>
      <c r="H73" s="11" t="str">
        <f>_xlfn.IFNA(VLOOKUP(F73,clientes!A:B,2,FALSE()),"--")</f>
        <v>Superintendencia Servicios Públicos Domiciliarios</v>
      </c>
      <c r="I73" s="5" t="s">
        <v>33</v>
      </c>
      <c r="J73" s="12" t="s">
        <v>356</v>
      </c>
      <c r="K73" s="19" t="s">
        <v>357</v>
      </c>
      <c r="L73" s="10" t="s">
        <v>358</v>
      </c>
      <c r="M73" s="10" t="s">
        <v>135</v>
      </c>
      <c r="N73" s="10" t="s">
        <v>201</v>
      </c>
      <c r="O73" s="4" t="s">
        <v>359</v>
      </c>
      <c r="P73" s="11" t="s">
        <v>35</v>
      </c>
      <c r="Q73" s="11" t="s">
        <v>36</v>
      </c>
      <c r="R73" s="23" t="s">
        <v>360</v>
      </c>
      <c r="S73" s="10" t="s">
        <v>37</v>
      </c>
      <c r="U73" s="4" t="s">
        <v>38</v>
      </c>
      <c r="V73" s="4" t="s">
        <v>38</v>
      </c>
      <c r="W73" s="4" t="s">
        <v>38</v>
      </c>
    </row>
    <row r="74" spans="1:26" ht="52.9" hidden="1">
      <c r="A74" s="23" t="s">
        <v>362</v>
      </c>
      <c r="B74" s="5" t="s">
        <v>353</v>
      </c>
      <c r="C74" s="11" t="str">
        <f t="shared" si="2"/>
        <v>SPD - Repositorio Único de Datos - Cloud</v>
      </c>
      <c r="D74" s="5" t="s">
        <v>354</v>
      </c>
      <c r="E74" s="5" t="s">
        <v>68</v>
      </c>
      <c r="F74" s="5" t="s">
        <v>355</v>
      </c>
      <c r="G74" s="4" t="s">
        <v>70</v>
      </c>
      <c r="H74" s="11" t="str">
        <f>_xlfn.IFNA(VLOOKUP(F74,clientes!A:B,2,FALSE()),"--")</f>
        <v>Superintendencia Servicios Públicos Domiciliarios</v>
      </c>
      <c r="I74" s="5" t="s">
        <v>33</v>
      </c>
      <c r="J74" s="12" t="s">
        <v>356</v>
      </c>
      <c r="K74" s="19" t="s">
        <v>357</v>
      </c>
      <c r="L74" s="10" t="s">
        <v>358</v>
      </c>
      <c r="M74" s="10" t="s">
        <v>135</v>
      </c>
      <c r="N74" s="10" t="s">
        <v>201</v>
      </c>
      <c r="O74" s="4" t="s">
        <v>359</v>
      </c>
      <c r="P74" s="11" t="s">
        <v>35</v>
      </c>
      <c r="Q74" s="11" t="s">
        <v>36</v>
      </c>
      <c r="R74" s="23" t="s">
        <v>360</v>
      </c>
      <c r="S74" s="4" t="s">
        <v>359</v>
      </c>
      <c r="U74" s="4" t="s">
        <v>38</v>
      </c>
      <c r="V74" s="4" t="s">
        <v>38</v>
      </c>
      <c r="W74" s="4" t="s">
        <v>38</v>
      </c>
    </row>
    <row r="75" spans="1:26" ht="39.6" hidden="1">
      <c r="A75" s="23" t="s">
        <v>363</v>
      </c>
      <c r="B75" s="5" t="s">
        <v>364</v>
      </c>
      <c r="C75" s="11" t="str">
        <f t="shared" si="2"/>
        <v>UNA - Gestión de Información - Fixed</v>
      </c>
      <c r="D75" s="5" t="s">
        <v>365</v>
      </c>
      <c r="E75" s="5" t="s">
        <v>80</v>
      </c>
      <c r="F75" s="5" t="s">
        <v>192</v>
      </c>
      <c r="G75" s="5" t="s">
        <v>81</v>
      </c>
      <c r="H75" s="11" t="str">
        <f>_xlfn.IFNA(VLOOKUP(F75,clientes!A:B,2,FALSE()),"--")</f>
        <v>Universidad Nacional de Colombia</v>
      </c>
      <c r="I75" s="5" t="s">
        <v>33</v>
      </c>
      <c r="J75" s="12" t="s">
        <v>210</v>
      </c>
      <c r="K75" s="19" t="s">
        <v>366</v>
      </c>
      <c r="L75" s="4" t="s">
        <v>53</v>
      </c>
      <c r="M75" s="10" t="s">
        <v>95</v>
      </c>
      <c r="N75" s="10" t="s">
        <v>136</v>
      </c>
      <c r="O75" s="4" t="s">
        <v>137</v>
      </c>
      <c r="P75" s="11" t="s">
        <v>35</v>
      </c>
      <c r="Q75" s="11" t="s">
        <v>36</v>
      </c>
      <c r="R75" s="23" t="s">
        <v>367</v>
      </c>
      <c r="S75" s="4" t="s">
        <v>138</v>
      </c>
      <c r="U75" s="4" t="s">
        <v>38</v>
      </c>
      <c r="V75" s="4" t="s">
        <v>38</v>
      </c>
      <c r="W75" s="4" t="s">
        <v>38</v>
      </c>
    </row>
    <row r="76" spans="1:26" ht="39.6" hidden="1">
      <c r="A76" s="23" t="s">
        <v>368</v>
      </c>
      <c r="B76" s="5" t="s">
        <v>364</v>
      </c>
      <c r="C76" s="11" t="str">
        <f t="shared" si="2"/>
        <v>UNA - Gestión de Información - Ret</v>
      </c>
      <c r="D76" s="5" t="s">
        <v>365</v>
      </c>
      <c r="E76" s="5" t="s">
        <v>60</v>
      </c>
      <c r="F76" s="5" t="s">
        <v>192</v>
      </c>
      <c r="G76" s="5" t="s">
        <v>61</v>
      </c>
      <c r="H76" s="11" t="str">
        <f>_xlfn.IFNA(VLOOKUP(F76,clientes!A:B,2,FALSE()),"--")</f>
        <v>Universidad Nacional de Colombia</v>
      </c>
      <c r="I76" s="5" t="s">
        <v>33</v>
      </c>
      <c r="J76" s="12" t="s">
        <v>210</v>
      </c>
      <c r="K76" s="19" t="s">
        <v>366</v>
      </c>
      <c r="L76" s="4" t="s">
        <v>53</v>
      </c>
      <c r="M76" s="10" t="s">
        <v>95</v>
      </c>
      <c r="N76" s="10" t="s">
        <v>136</v>
      </c>
      <c r="O76" s="4" t="s">
        <v>137</v>
      </c>
      <c r="P76" s="11" t="s">
        <v>35</v>
      </c>
      <c r="Q76" s="11" t="s">
        <v>36</v>
      </c>
      <c r="R76" s="23" t="s">
        <v>367</v>
      </c>
      <c r="S76" s="4" t="s">
        <v>138</v>
      </c>
      <c r="U76" s="4" t="s">
        <v>38</v>
      </c>
      <c r="V76" s="4" t="s">
        <v>38</v>
      </c>
      <c r="W76" s="4" t="s">
        <v>38</v>
      </c>
    </row>
    <row r="77" spans="1:26" ht="39.6" hidden="1">
      <c r="A77" s="23" t="s">
        <v>369</v>
      </c>
      <c r="B77" s="5" t="s">
        <v>364</v>
      </c>
      <c r="C77" s="11" t="str">
        <f t="shared" si="2"/>
        <v>UNA - Gestión de Información - Cloud</v>
      </c>
      <c r="D77" s="5" t="s">
        <v>365</v>
      </c>
      <c r="E77" s="5" t="s">
        <v>68</v>
      </c>
      <c r="F77" s="5" t="s">
        <v>192</v>
      </c>
      <c r="G77" s="4" t="s">
        <v>70</v>
      </c>
      <c r="H77" s="11" t="str">
        <f>_xlfn.IFNA(VLOOKUP(F77,clientes!A:B,2,FALSE()),"--")</f>
        <v>Universidad Nacional de Colombia</v>
      </c>
      <c r="I77" s="5" t="s">
        <v>33</v>
      </c>
      <c r="J77" s="12" t="s">
        <v>210</v>
      </c>
      <c r="K77" s="19" t="s">
        <v>366</v>
      </c>
      <c r="L77" s="4" t="s">
        <v>53</v>
      </c>
      <c r="M77" s="10" t="s">
        <v>95</v>
      </c>
      <c r="N77" s="10" t="s">
        <v>136</v>
      </c>
      <c r="O77" s="4" t="s">
        <v>137</v>
      </c>
      <c r="P77" s="11" t="s">
        <v>35</v>
      </c>
      <c r="Q77" s="11" t="s">
        <v>36</v>
      </c>
      <c r="R77" s="23" t="s">
        <v>367</v>
      </c>
      <c r="S77" s="10" t="s">
        <v>37</v>
      </c>
      <c r="U77" s="4" t="s">
        <v>38</v>
      </c>
      <c r="V77" s="4" t="s">
        <v>38</v>
      </c>
      <c r="W77" s="4" t="s">
        <v>38</v>
      </c>
    </row>
    <row r="78" spans="1:26" ht="39.6" hidden="1">
      <c r="A78" s="22" t="s">
        <v>370</v>
      </c>
      <c r="B78" s="5" t="s">
        <v>371</v>
      </c>
      <c r="C78" s="11" t="str">
        <f t="shared" si="2"/>
        <v>UNA - Servicios Quipu - Fixed</v>
      </c>
      <c r="D78" s="5" t="s">
        <v>372</v>
      </c>
      <c r="E78" s="5" t="s">
        <v>80</v>
      </c>
      <c r="F78" s="5" t="s">
        <v>192</v>
      </c>
      <c r="G78" s="5" t="s">
        <v>81</v>
      </c>
      <c r="H78" s="11" t="str">
        <f>_xlfn.IFNA(VLOOKUP(F78,clientes!A:B,2,FALSE()),"--")</f>
        <v>Universidad Nacional de Colombia</v>
      </c>
      <c r="I78" s="5" t="s">
        <v>71</v>
      </c>
      <c r="J78" s="12" t="s">
        <v>193</v>
      </c>
      <c r="K78" s="4" t="s">
        <v>373</v>
      </c>
      <c r="L78" s="4" t="s">
        <v>53</v>
      </c>
      <c r="M78" s="10" t="s">
        <v>95</v>
      </c>
      <c r="N78" s="10" t="s">
        <v>75</v>
      </c>
      <c r="O78" s="4" t="s">
        <v>107</v>
      </c>
      <c r="P78" s="11" t="s">
        <v>77</v>
      </c>
      <c r="Q78" s="11" t="s">
        <v>36</v>
      </c>
      <c r="R78" s="22">
        <v>55201</v>
      </c>
      <c r="S78" s="10" t="s">
        <v>64</v>
      </c>
      <c r="U78" s="4" t="s">
        <v>38</v>
      </c>
      <c r="V78" s="4" t="s">
        <v>38</v>
      </c>
      <c r="W78" s="4" t="s">
        <v>38</v>
      </c>
    </row>
    <row r="79" spans="1:26" ht="13.15" hidden="1" customHeight="1">
      <c r="A79" s="28" t="s">
        <v>374</v>
      </c>
      <c r="B79" s="5" t="s">
        <v>375</v>
      </c>
      <c r="C79" s="11" t="str">
        <f t="shared" si="2"/>
        <v>UNA - Facultad de ingenieria - Ret</v>
      </c>
      <c r="D79" s="5" t="s">
        <v>376</v>
      </c>
      <c r="E79" s="5" t="s">
        <v>60</v>
      </c>
      <c r="F79" s="5" t="s">
        <v>192</v>
      </c>
      <c r="G79" s="5" t="s">
        <v>61</v>
      </c>
      <c r="H79" s="11" t="str">
        <f>_xlfn.IFNA(VLOOKUP(F79,clientes!A:B,2,FALSE()),"--")</f>
        <v>Universidad Nacional de Colombia</v>
      </c>
      <c r="I79" s="5" t="s">
        <v>33</v>
      </c>
      <c r="J79" s="12" t="s">
        <v>193</v>
      </c>
      <c r="K79" s="19" t="s">
        <v>194</v>
      </c>
      <c r="L79" s="4" t="s">
        <v>53</v>
      </c>
      <c r="M79" s="10" t="s">
        <v>95</v>
      </c>
      <c r="N79" s="10" t="s">
        <v>136</v>
      </c>
      <c r="O79" s="4" t="s">
        <v>137</v>
      </c>
      <c r="P79" s="11" t="s">
        <v>35</v>
      </c>
      <c r="Q79" s="11" t="s">
        <v>36</v>
      </c>
      <c r="S79" s="4" t="s">
        <v>138</v>
      </c>
      <c r="U79" s="4" t="s">
        <v>38</v>
      </c>
      <c r="V79" s="4" t="s">
        <v>38</v>
      </c>
      <c r="W79" s="4" t="s">
        <v>38</v>
      </c>
    </row>
    <row r="80" spans="1:26" ht="39.6" hidden="1">
      <c r="A80" s="22" t="s">
        <v>377</v>
      </c>
      <c r="B80" s="4" t="s">
        <v>375</v>
      </c>
      <c r="C80" s="11" t="str">
        <f t="shared" si="2"/>
        <v>UNA - Facultad de ingenieria - Cloud</v>
      </c>
      <c r="D80" s="5" t="s">
        <v>376</v>
      </c>
      <c r="E80" s="5" t="s">
        <v>68</v>
      </c>
      <c r="F80" s="5" t="s">
        <v>192</v>
      </c>
      <c r="G80" s="5" t="s">
        <v>70</v>
      </c>
      <c r="H80" s="11" t="str">
        <f>_xlfn.IFNA(VLOOKUP(F80,clientes!A:B,2,FALSE()),"--")</f>
        <v>Universidad Nacional de Colombia</v>
      </c>
      <c r="I80" s="5" t="s">
        <v>33</v>
      </c>
      <c r="J80" s="12" t="s">
        <v>193</v>
      </c>
      <c r="K80" s="19" t="s">
        <v>194</v>
      </c>
      <c r="L80" s="4" t="s">
        <v>53</v>
      </c>
      <c r="M80" s="10" t="s">
        <v>95</v>
      </c>
      <c r="N80" s="10" t="s">
        <v>136</v>
      </c>
      <c r="O80" s="4" t="s">
        <v>137</v>
      </c>
      <c r="P80" s="11" t="s">
        <v>35</v>
      </c>
      <c r="Q80" s="11" t="s">
        <v>36</v>
      </c>
      <c r="U80" s="4" t="s">
        <v>38</v>
      </c>
      <c r="V80" s="4" t="s">
        <v>38</v>
      </c>
      <c r="W80" s="4" t="s">
        <v>38</v>
      </c>
    </row>
    <row r="81" spans="1:26" ht="52.9" hidden="1">
      <c r="A81" s="23" t="s">
        <v>378</v>
      </c>
      <c r="B81" s="5" t="s">
        <v>379</v>
      </c>
      <c r="C81" s="11" t="str">
        <f t="shared" si="2"/>
        <v>BID - Development as a Service - Fixed</v>
      </c>
      <c r="D81" s="5" t="s">
        <v>380</v>
      </c>
      <c r="E81" s="5" t="s">
        <v>80</v>
      </c>
      <c r="F81" s="5" t="s">
        <v>153</v>
      </c>
      <c r="G81" s="5" t="s">
        <v>81</v>
      </c>
      <c r="H81" s="11" t="str">
        <f>_xlfn.IFNA(VLOOKUP(F81,clientes!A:B,2,FALSE()),"--")</f>
        <v>Banco Interamericano de Desarrollo</v>
      </c>
      <c r="I81" s="5" t="s">
        <v>33</v>
      </c>
      <c r="J81" s="12" t="s">
        <v>154</v>
      </c>
      <c r="K81" s="50" t="s">
        <v>381</v>
      </c>
      <c r="L81" s="10" t="s">
        <v>156</v>
      </c>
      <c r="M81" s="10" t="s">
        <v>145</v>
      </c>
      <c r="N81" s="10" t="s">
        <v>75</v>
      </c>
      <c r="O81" s="4" t="s">
        <v>160</v>
      </c>
      <c r="P81" s="11" t="s">
        <v>35</v>
      </c>
      <c r="Q81" s="11" t="s">
        <v>36</v>
      </c>
      <c r="R81" s="23" t="s">
        <v>382</v>
      </c>
      <c r="S81" s="4" t="s">
        <v>160</v>
      </c>
      <c r="U81" s="4" t="s">
        <v>383</v>
      </c>
      <c r="V81" s="4" t="s">
        <v>384</v>
      </c>
      <c r="W81" s="4" t="s">
        <v>38</v>
      </c>
    </row>
    <row r="82" spans="1:26" ht="26.45" hidden="1">
      <c r="A82" s="22" t="s">
        <v>385</v>
      </c>
      <c r="B82" s="5" t="s">
        <v>386</v>
      </c>
      <c r="C82" s="11" t="str">
        <f t="shared" si="2"/>
        <v>WIT - Witty Operación - Ret</v>
      </c>
      <c r="D82" s="5" t="s">
        <v>387</v>
      </c>
      <c r="E82" s="5" t="s">
        <v>60</v>
      </c>
      <c r="F82" s="5" t="s">
        <v>388</v>
      </c>
      <c r="G82" s="5" t="s">
        <v>61</v>
      </c>
      <c r="H82" s="11" t="str">
        <f>_xlfn.IFNA(VLOOKUP(F82,clientes!A:B,2,FALSE()),"--")</f>
        <v>Witty</v>
      </c>
      <c r="I82" s="5" t="s">
        <v>71</v>
      </c>
      <c r="J82" s="6" t="s">
        <v>389</v>
      </c>
      <c r="K82" s="7" t="s">
        <v>390</v>
      </c>
      <c r="L82" s="10"/>
      <c r="M82" s="10" t="s">
        <v>157</v>
      </c>
      <c r="N82" s="10" t="s">
        <v>75</v>
      </c>
      <c r="O82" s="4" t="s">
        <v>107</v>
      </c>
      <c r="P82" s="11" t="s">
        <v>77</v>
      </c>
      <c r="Q82" s="11" t="s">
        <v>391</v>
      </c>
      <c r="R82" s="22">
        <v>55204</v>
      </c>
      <c r="S82" s="10" t="s">
        <v>64</v>
      </c>
      <c r="U82" s="4" t="s">
        <v>38</v>
      </c>
      <c r="V82" s="4" t="s">
        <v>38</v>
      </c>
      <c r="W82" s="4" t="s">
        <v>38</v>
      </c>
    </row>
    <row r="83" spans="1:26" ht="52.9" hidden="1">
      <c r="A83" s="22" t="s">
        <v>392</v>
      </c>
      <c r="B83" s="5" t="s">
        <v>393</v>
      </c>
      <c r="C83" s="11" t="str">
        <f t="shared" si="2"/>
        <v>SIC - Soporte infraestructura - Ret</v>
      </c>
      <c r="D83" s="5" t="s">
        <v>394</v>
      </c>
      <c r="E83" s="5" t="s">
        <v>60</v>
      </c>
      <c r="F83" s="5" t="s">
        <v>395</v>
      </c>
      <c r="G83" s="5" t="s">
        <v>61</v>
      </c>
      <c r="H83" s="11" t="str">
        <f>_xlfn.IFNA(VLOOKUP(F83,clientes!A:B,2,FALSE()),"--")</f>
        <v>Superintendencia de Industria y Comercio</v>
      </c>
      <c r="I83" s="5" t="s">
        <v>71</v>
      </c>
      <c r="J83" s="6" t="s">
        <v>395</v>
      </c>
      <c r="K83" s="4" t="s">
        <v>396</v>
      </c>
      <c r="L83" s="10" t="s">
        <v>134</v>
      </c>
      <c r="M83" s="10" t="s">
        <v>145</v>
      </c>
      <c r="N83" s="10" t="s">
        <v>75</v>
      </c>
      <c r="O83" s="4" t="s">
        <v>397</v>
      </c>
      <c r="P83" s="11" t="s">
        <v>77</v>
      </c>
      <c r="Q83" s="11" t="s">
        <v>391</v>
      </c>
      <c r="R83" s="22">
        <v>55205</v>
      </c>
      <c r="S83" s="10" t="s">
        <v>37</v>
      </c>
      <c r="U83" s="4" t="s">
        <v>38</v>
      </c>
      <c r="V83" s="4" t="s">
        <v>38</v>
      </c>
      <c r="W83" s="4" t="s">
        <v>38</v>
      </c>
    </row>
    <row r="84" spans="1:26" ht="52.9" hidden="1">
      <c r="A84" s="23" t="s">
        <v>398</v>
      </c>
      <c r="B84" s="5" t="s">
        <v>379</v>
      </c>
      <c r="C84" s="11" t="str">
        <f t="shared" si="2"/>
        <v>BID - Development as a Service - Ret</v>
      </c>
      <c r="D84" s="5" t="s">
        <v>380</v>
      </c>
      <c r="E84" s="5" t="s">
        <v>60</v>
      </c>
      <c r="F84" s="5" t="s">
        <v>153</v>
      </c>
      <c r="G84" s="5" t="s">
        <v>61</v>
      </c>
      <c r="H84" s="11" t="str">
        <f>_xlfn.IFNA(VLOOKUP(F84,clientes!A:B,2,FALSE()),"--")</f>
        <v>Banco Interamericano de Desarrollo</v>
      </c>
      <c r="I84" s="5" t="s">
        <v>33</v>
      </c>
      <c r="J84" s="12" t="s">
        <v>154</v>
      </c>
      <c r="K84" s="50" t="s">
        <v>381</v>
      </c>
      <c r="L84" s="10" t="s">
        <v>156</v>
      </c>
      <c r="M84" s="10" t="s">
        <v>145</v>
      </c>
      <c r="N84" s="10" t="s">
        <v>75</v>
      </c>
      <c r="O84" s="4" t="s">
        <v>160</v>
      </c>
      <c r="P84" s="11" t="s">
        <v>35</v>
      </c>
      <c r="Q84" s="11" t="s">
        <v>36</v>
      </c>
      <c r="R84" s="23" t="s">
        <v>382</v>
      </c>
      <c r="S84" s="4" t="s">
        <v>160</v>
      </c>
      <c r="U84" s="4" t="s">
        <v>383</v>
      </c>
      <c r="V84" s="4" t="s">
        <v>384</v>
      </c>
      <c r="W84" s="4" t="s">
        <v>38</v>
      </c>
    </row>
    <row r="85" spans="1:26" ht="52.9" hidden="1">
      <c r="A85" s="23" t="s">
        <v>399</v>
      </c>
      <c r="B85" s="5" t="s">
        <v>379</v>
      </c>
      <c r="C85" s="11" t="str">
        <f t="shared" si="2"/>
        <v>BID - Development as a Service - Cloud</v>
      </c>
      <c r="D85" s="5" t="s">
        <v>380</v>
      </c>
      <c r="E85" s="5" t="s">
        <v>68</v>
      </c>
      <c r="F85" s="5" t="s">
        <v>153</v>
      </c>
      <c r="G85" s="4" t="s">
        <v>70</v>
      </c>
      <c r="H85" s="11" t="str">
        <f>_xlfn.IFNA(VLOOKUP(F85,clientes!A:B,2,FALSE()),"--")</f>
        <v>Banco Interamericano de Desarrollo</v>
      </c>
      <c r="I85" s="5" t="s">
        <v>33</v>
      </c>
      <c r="J85" s="12" t="s">
        <v>154</v>
      </c>
      <c r="K85" s="50" t="s">
        <v>381</v>
      </c>
      <c r="L85" s="10" t="s">
        <v>156</v>
      </c>
      <c r="M85" s="10" t="s">
        <v>145</v>
      </c>
      <c r="N85" s="10" t="s">
        <v>75</v>
      </c>
      <c r="O85" s="4" t="s">
        <v>160</v>
      </c>
      <c r="P85" s="11" t="s">
        <v>35</v>
      </c>
      <c r="Q85" s="11" t="s">
        <v>36</v>
      </c>
      <c r="R85" s="23" t="s">
        <v>382</v>
      </c>
      <c r="S85" s="10" t="s">
        <v>37</v>
      </c>
      <c r="U85" s="4" t="s">
        <v>383</v>
      </c>
      <c r="V85" s="4" t="s">
        <v>384</v>
      </c>
      <c r="W85" s="4" t="s">
        <v>38</v>
      </c>
    </row>
    <row r="86" spans="1:26" ht="52.9" hidden="1">
      <c r="A86" s="23" t="s">
        <v>400</v>
      </c>
      <c r="B86" s="5" t="s">
        <v>379</v>
      </c>
      <c r="C86" s="11" t="str">
        <f t="shared" si="2"/>
        <v>BID - Development as a Service - Ret SW</v>
      </c>
      <c r="D86" s="5" t="s">
        <v>380</v>
      </c>
      <c r="E86" s="5" t="s">
        <v>48</v>
      </c>
      <c r="F86" s="5" t="s">
        <v>153</v>
      </c>
      <c r="G86" s="5" t="s">
        <v>50</v>
      </c>
      <c r="H86" s="11" t="str">
        <f>_xlfn.IFNA(VLOOKUP(F86,clientes!A:B,2,FALSE()),"--")</f>
        <v>Banco Interamericano de Desarrollo</v>
      </c>
      <c r="I86" s="5" t="s">
        <v>33</v>
      </c>
      <c r="J86" s="12" t="s">
        <v>154</v>
      </c>
      <c r="K86" s="50" t="s">
        <v>381</v>
      </c>
      <c r="L86" s="10" t="s">
        <v>156</v>
      </c>
      <c r="M86" s="10" t="s">
        <v>145</v>
      </c>
      <c r="N86" s="10" t="s">
        <v>75</v>
      </c>
      <c r="O86" s="4" t="s">
        <v>160</v>
      </c>
      <c r="P86" s="11" t="s">
        <v>35</v>
      </c>
      <c r="Q86" s="11" t="s">
        <v>36</v>
      </c>
      <c r="R86" s="23" t="s">
        <v>382</v>
      </c>
      <c r="S86" s="10" t="s">
        <v>37</v>
      </c>
      <c r="U86" s="4" t="s">
        <v>383</v>
      </c>
      <c r="V86" s="4" t="s">
        <v>384</v>
      </c>
      <c r="W86" s="4" t="s">
        <v>38</v>
      </c>
    </row>
    <row r="87" spans="1:26" ht="39.6" hidden="1">
      <c r="A87" s="23" t="s">
        <v>401</v>
      </c>
      <c r="B87" s="5" t="s">
        <v>402</v>
      </c>
      <c r="C87" s="11" t="str">
        <f t="shared" si="2"/>
        <v>FDN - Servicios de arquitectura - Cloud</v>
      </c>
      <c r="D87" s="5" t="s">
        <v>403</v>
      </c>
      <c r="E87" s="5" t="s">
        <v>68</v>
      </c>
      <c r="F87" s="5" t="s">
        <v>231</v>
      </c>
      <c r="G87" s="4" t="s">
        <v>70</v>
      </c>
      <c r="H87" s="11" t="str">
        <f>_xlfn.IFNA(VLOOKUP(F87,clientes!A:B,2,FALSE()),"--")</f>
        <v>Financiera de Desarrollo Nacional</v>
      </c>
      <c r="I87" s="5" t="s">
        <v>33</v>
      </c>
      <c r="J87" s="12" t="s">
        <v>232</v>
      </c>
      <c r="K87" s="14" t="s">
        <v>404</v>
      </c>
      <c r="L87" s="10" t="s">
        <v>124</v>
      </c>
      <c r="M87" s="10" t="s">
        <v>95</v>
      </c>
      <c r="N87" s="10" t="s">
        <v>136</v>
      </c>
      <c r="O87" s="4" t="s">
        <v>137</v>
      </c>
      <c r="P87" s="11" t="s">
        <v>35</v>
      </c>
      <c r="Q87" s="11" t="s">
        <v>36</v>
      </c>
      <c r="R87" s="23" t="s">
        <v>405</v>
      </c>
      <c r="S87" s="10" t="s">
        <v>37</v>
      </c>
      <c r="T87" s="4" t="s">
        <v>20</v>
      </c>
      <c r="U87" s="43" t="s">
        <v>326</v>
      </c>
      <c r="W87" s="73"/>
      <c r="Y87" s="71" t="s">
        <v>327</v>
      </c>
      <c r="Z87" s="73"/>
    </row>
    <row r="88" spans="1:26" ht="39.6" hidden="1">
      <c r="A88" s="22" t="s">
        <v>406</v>
      </c>
      <c r="B88" s="5" t="s">
        <v>407</v>
      </c>
      <c r="C88" s="11" t="str">
        <f t="shared" si="2"/>
        <v>UNA - Soporte y Mtto Quipu 2025 - Ret</v>
      </c>
      <c r="D88" s="5" t="s">
        <v>408</v>
      </c>
      <c r="E88" s="5" t="s">
        <v>60</v>
      </c>
      <c r="F88" s="5" t="s">
        <v>192</v>
      </c>
      <c r="G88" s="5" t="s">
        <v>61</v>
      </c>
      <c r="H88" s="11" t="str">
        <f>_xlfn.IFNA(VLOOKUP(F88,clientes!A:B,2,FALSE()),"--")</f>
        <v>Universidad Nacional de Colombia</v>
      </c>
      <c r="I88" s="5" t="s">
        <v>33</v>
      </c>
      <c r="J88" s="12" t="s">
        <v>193</v>
      </c>
      <c r="K88" s="19" t="s">
        <v>409</v>
      </c>
      <c r="L88" s="4" t="s">
        <v>53</v>
      </c>
      <c r="M88" s="10" t="s">
        <v>95</v>
      </c>
      <c r="N88" s="10" t="s">
        <v>75</v>
      </c>
      <c r="O88" s="4" t="s">
        <v>107</v>
      </c>
      <c r="P88" s="11" t="s">
        <v>35</v>
      </c>
      <c r="Q88" s="11" t="s">
        <v>299</v>
      </c>
      <c r="R88" s="22">
        <v>55202</v>
      </c>
      <c r="S88" s="10" t="s">
        <v>64</v>
      </c>
      <c r="U88" s="4" t="s">
        <v>38</v>
      </c>
      <c r="V88" s="4" t="s">
        <v>38</v>
      </c>
      <c r="W88" s="4" t="s">
        <v>38</v>
      </c>
    </row>
    <row r="89" spans="1:26" ht="26.45" hidden="1">
      <c r="A89" s="23" t="s">
        <v>410</v>
      </c>
      <c r="B89" s="58" t="s">
        <v>411</v>
      </c>
      <c r="C89" s="11" t="str">
        <f t="shared" si="2"/>
        <v>ACA - Agente Cognitivo y Migración - Fixed</v>
      </c>
      <c r="D89" s="58" t="s">
        <v>412</v>
      </c>
      <c r="E89" s="5" t="s">
        <v>80</v>
      </c>
      <c r="F89" s="58" t="s">
        <v>69</v>
      </c>
      <c r="G89" s="5" t="s">
        <v>81</v>
      </c>
      <c r="H89" s="11" t="str">
        <f>_xlfn.IFNA(VLOOKUP(F89,clientes!A:B,2,FALSE()),"--")</f>
        <v>Alcaldia de Cali</v>
      </c>
      <c r="I89" s="5" t="s">
        <v>71</v>
      </c>
      <c r="J89" s="16" t="s">
        <v>72</v>
      </c>
      <c r="K89" s="4" t="s">
        <v>413</v>
      </c>
      <c r="L89" s="10" t="s">
        <v>73</v>
      </c>
      <c r="M89" s="16" t="s">
        <v>74</v>
      </c>
      <c r="N89" s="17" t="s">
        <v>136</v>
      </c>
      <c r="O89" s="4" t="s">
        <v>137</v>
      </c>
      <c r="P89" s="11" t="s">
        <v>77</v>
      </c>
      <c r="Q89" s="11" t="s">
        <v>36</v>
      </c>
      <c r="R89" s="23" t="s">
        <v>414</v>
      </c>
      <c r="S89" s="4" t="s">
        <v>138</v>
      </c>
      <c r="U89" s="4" t="s">
        <v>38</v>
      </c>
      <c r="V89" s="4" t="s">
        <v>38</v>
      </c>
      <c r="W89" s="4" t="s">
        <v>38</v>
      </c>
    </row>
    <row r="90" spans="1:26" ht="26.45" hidden="1">
      <c r="A90" s="23" t="s">
        <v>415</v>
      </c>
      <c r="B90" s="58" t="s">
        <v>411</v>
      </c>
      <c r="C90" s="11" t="str">
        <f t="shared" si="2"/>
        <v>ACA - Agente Cognitivo y Migración - Cloud</v>
      </c>
      <c r="D90" s="58" t="s">
        <v>412</v>
      </c>
      <c r="E90" s="5" t="s">
        <v>68</v>
      </c>
      <c r="F90" s="58" t="s">
        <v>69</v>
      </c>
      <c r="G90" s="4" t="s">
        <v>70</v>
      </c>
      <c r="H90" s="11" t="str">
        <f>_xlfn.IFNA(VLOOKUP(F90,clientes!A:B,2,FALSE()),"--")</f>
        <v>Alcaldia de Cali</v>
      </c>
      <c r="I90" s="5" t="s">
        <v>71</v>
      </c>
      <c r="J90" s="16" t="s">
        <v>72</v>
      </c>
      <c r="K90" s="4" t="s">
        <v>413</v>
      </c>
      <c r="L90" s="10" t="s">
        <v>73</v>
      </c>
      <c r="M90" s="16" t="s">
        <v>74</v>
      </c>
      <c r="N90" s="17" t="s">
        <v>136</v>
      </c>
      <c r="O90" s="4" t="s">
        <v>137</v>
      </c>
      <c r="P90" s="11" t="s">
        <v>77</v>
      </c>
      <c r="Q90" s="11" t="s">
        <v>36</v>
      </c>
      <c r="R90" s="23" t="s">
        <v>414</v>
      </c>
      <c r="S90" s="10" t="s">
        <v>37</v>
      </c>
      <c r="U90" s="4" t="s">
        <v>38</v>
      </c>
      <c r="V90" s="4" t="s">
        <v>38</v>
      </c>
      <c r="W90" s="4" t="s">
        <v>38</v>
      </c>
    </row>
    <row r="91" spans="1:26" ht="52.9" hidden="1">
      <c r="A91" s="23" t="s">
        <v>416</v>
      </c>
      <c r="B91" s="5" t="s">
        <v>417</v>
      </c>
      <c r="C91" s="11" t="str">
        <f t="shared" si="2"/>
        <v>PON - IAPOL-G - IA Generative - Fixed</v>
      </c>
      <c r="D91" s="5" t="s">
        <v>418</v>
      </c>
      <c r="E91" s="5" t="s">
        <v>80</v>
      </c>
      <c r="F91" s="5" t="s">
        <v>419</v>
      </c>
      <c r="G91" s="5" t="s">
        <v>81</v>
      </c>
      <c r="H91" s="11" t="str">
        <f>_xlfn.IFNA(VLOOKUP(F91,clientes!A:B,2,FALSE()),"--")</f>
        <v>Policia Nacional</v>
      </c>
      <c r="I91" s="5" t="s">
        <v>33</v>
      </c>
      <c r="J91" s="15" t="s">
        <v>420</v>
      </c>
      <c r="K91" s="51" t="s">
        <v>421</v>
      </c>
      <c r="L91" s="4" t="s">
        <v>315</v>
      </c>
      <c r="M91" s="10" t="s">
        <v>145</v>
      </c>
      <c r="N91" s="10" t="s">
        <v>201</v>
      </c>
      <c r="O91" s="4" t="s">
        <v>422</v>
      </c>
      <c r="P91" s="11" t="s">
        <v>35</v>
      </c>
      <c r="Q91" s="11" t="s">
        <v>423</v>
      </c>
      <c r="R91" s="23" t="s">
        <v>424</v>
      </c>
      <c r="S91" s="4" t="s">
        <v>425</v>
      </c>
      <c r="T91" s="4" t="s">
        <v>426</v>
      </c>
      <c r="U91" s="48" t="s">
        <v>427</v>
      </c>
      <c r="V91" s="43" t="s">
        <v>428</v>
      </c>
      <c r="W91" s="43" t="s">
        <v>429</v>
      </c>
      <c r="Y91" s="43" t="s">
        <v>430</v>
      </c>
      <c r="Z91" s="48" t="s">
        <v>431</v>
      </c>
    </row>
    <row r="92" spans="1:26" ht="52.9" hidden="1">
      <c r="A92" s="23" t="s">
        <v>432</v>
      </c>
      <c r="B92" s="5" t="s">
        <v>417</v>
      </c>
      <c r="C92" s="11" t="str">
        <f t="shared" si="2"/>
        <v>PON - IAPOL-G - IA Generative - Ret SW</v>
      </c>
      <c r="D92" s="5" t="s">
        <v>418</v>
      </c>
      <c r="E92" s="5" t="s">
        <v>48</v>
      </c>
      <c r="F92" s="5" t="s">
        <v>419</v>
      </c>
      <c r="G92" s="5" t="s">
        <v>50</v>
      </c>
      <c r="H92" s="11" t="str">
        <f>_xlfn.IFNA(VLOOKUP(F92,clientes!A:B,2,FALSE()),"--")</f>
        <v>Policia Nacional</v>
      </c>
      <c r="I92" s="5" t="s">
        <v>33</v>
      </c>
      <c r="J92" s="15" t="s">
        <v>420</v>
      </c>
      <c r="K92" s="51" t="s">
        <v>421</v>
      </c>
      <c r="L92" s="4" t="s">
        <v>315</v>
      </c>
      <c r="M92" s="10" t="s">
        <v>145</v>
      </c>
      <c r="N92" s="10" t="s">
        <v>201</v>
      </c>
      <c r="O92" s="4" t="s">
        <v>422</v>
      </c>
      <c r="P92" s="11" t="s">
        <v>35</v>
      </c>
      <c r="Q92" s="11" t="s">
        <v>423</v>
      </c>
      <c r="R92" s="23" t="s">
        <v>424</v>
      </c>
      <c r="S92" s="10" t="s">
        <v>37</v>
      </c>
      <c r="T92" s="4" t="s">
        <v>426</v>
      </c>
      <c r="U92" s="48" t="s">
        <v>427</v>
      </c>
      <c r="V92" s="43" t="s">
        <v>428</v>
      </c>
      <c r="W92" s="43" t="s">
        <v>429</v>
      </c>
      <c r="Y92" s="43" t="s">
        <v>430</v>
      </c>
      <c r="Z92" s="48" t="s">
        <v>431</v>
      </c>
    </row>
    <row r="93" spans="1:26" ht="52.9" hidden="1">
      <c r="A93" s="23" t="s">
        <v>433</v>
      </c>
      <c r="B93" s="5" t="s">
        <v>417</v>
      </c>
      <c r="C93" s="11" t="str">
        <f t="shared" si="2"/>
        <v>PON - IAPOL-G - IA Generative - Cloud</v>
      </c>
      <c r="D93" s="5" t="s">
        <v>418</v>
      </c>
      <c r="E93" s="5" t="s">
        <v>68</v>
      </c>
      <c r="F93" s="5" t="s">
        <v>419</v>
      </c>
      <c r="G93" s="4" t="s">
        <v>70</v>
      </c>
      <c r="H93" s="11" t="str">
        <f>_xlfn.IFNA(VLOOKUP(F93,clientes!A:B,2,FALSE()),"--")</f>
        <v>Policia Nacional</v>
      </c>
      <c r="I93" s="5" t="s">
        <v>33</v>
      </c>
      <c r="J93" s="15" t="s">
        <v>420</v>
      </c>
      <c r="K93" s="51" t="s">
        <v>421</v>
      </c>
      <c r="L93" s="4" t="s">
        <v>315</v>
      </c>
      <c r="M93" s="10" t="s">
        <v>145</v>
      </c>
      <c r="N93" s="10" t="s">
        <v>201</v>
      </c>
      <c r="O93" s="4" t="s">
        <v>422</v>
      </c>
      <c r="P93" s="11" t="s">
        <v>35</v>
      </c>
      <c r="Q93" s="11" t="s">
        <v>423</v>
      </c>
      <c r="R93" s="23" t="s">
        <v>424</v>
      </c>
      <c r="S93" s="10" t="s">
        <v>37</v>
      </c>
      <c r="T93" s="4" t="s">
        <v>426</v>
      </c>
      <c r="U93" s="48" t="s">
        <v>427</v>
      </c>
      <c r="V93" s="43" t="s">
        <v>428</v>
      </c>
      <c r="W93" s="43" t="s">
        <v>429</v>
      </c>
      <c r="Y93" s="43" t="s">
        <v>430</v>
      </c>
      <c r="Z93" s="48" t="s">
        <v>431</v>
      </c>
    </row>
    <row r="94" spans="1:26" ht="52.9" hidden="1">
      <c r="A94" s="23" t="s">
        <v>434</v>
      </c>
      <c r="B94" s="5" t="s">
        <v>417</v>
      </c>
      <c r="C94" s="11" t="str">
        <f t="shared" si="2"/>
        <v>PON - IAPOL-G - IA Generative - Ret</v>
      </c>
      <c r="D94" s="5" t="s">
        <v>418</v>
      </c>
      <c r="E94" s="5" t="s">
        <v>60</v>
      </c>
      <c r="F94" s="5" t="s">
        <v>419</v>
      </c>
      <c r="G94" s="5" t="s">
        <v>61</v>
      </c>
      <c r="H94" s="11" t="str">
        <f>_xlfn.IFNA(VLOOKUP(F94,clientes!A:B,2,FALSE()),"--")</f>
        <v>Policia Nacional</v>
      </c>
      <c r="I94" s="5" t="s">
        <v>33</v>
      </c>
      <c r="J94" s="15" t="s">
        <v>420</v>
      </c>
      <c r="K94" s="51" t="s">
        <v>421</v>
      </c>
      <c r="L94" s="4" t="s">
        <v>315</v>
      </c>
      <c r="M94" s="10" t="s">
        <v>145</v>
      </c>
      <c r="N94" s="10" t="s">
        <v>201</v>
      </c>
      <c r="O94" s="4" t="s">
        <v>422</v>
      </c>
      <c r="P94" s="11" t="s">
        <v>35</v>
      </c>
      <c r="Q94" s="11" t="s">
        <v>423</v>
      </c>
      <c r="R94" s="23" t="s">
        <v>424</v>
      </c>
      <c r="S94" s="4" t="s">
        <v>423</v>
      </c>
      <c r="T94" s="4" t="s">
        <v>426</v>
      </c>
      <c r="U94" s="48" t="s">
        <v>427</v>
      </c>
      <c r="V94" s="43" t="s">
        <v>428</v>
      </c>
      <c r="W94" s="43" t="s">
        <v>429</v>
      </c>
      <c r="Y94" s="43" t="s">
        <v>430</v>
      </c>
      <c r="Z94" s="48" t="s">
        <v>431</v>
      </c>
    </row>
    <row r="95" spans="1:26" ht="52.9" hidden="1">
      <c r="A95" s="22" t="s">
        <v>435</v>
      </c>
      <c r="B95" s="4" t="s">
        <v>417</v>
      </c>
      <c r="C95" s="11" t="str">
        <f t="shared" si="2"/>
        <v>PON - IAPOL-G - IA Generative - Other Vendors</v>
      </c>
      <c r="D95" s="5" t="s">
        <v>418</v>
      </c>
      <c r="E95" s="5" t="s">
        <v>436</v>
      </c>
      <c r="F95" s="5" t="s">
        <v>419</v>
      </c>
      <c r="G95" s="5" t="s">
        <v>61</v>
      </c>
      <c r="H95" s="11" t="str">
        <f>_xlfn.IFNA(VLOOKUP(F95,clientes!A:B,2,FALSE()),"--")</f>
        <v>Policia Nacional</v>
      </c>
      <c r="I95" s="5" t="s">
        <v>33</v>
      </c>
      <c r="J95" s="15" t="s">
        <v>420</v>
      </c>
      <c r="K95" s="51" t="s">
        <v>421</v>
      </c>
      <c r="L95" s="4" t="s">
        <v>315</v>
      </c>
      <c r="M95" s="10" t="s">
        <v>145</v>
      </c>
      <c r="N95" s="10" t="s">
        <v>201</v>
      </c>
      <c r="O95" s="4" t="s">
        <v>422</v>
      </c>
      <c r="P95" s="11" t="s">
        <v>35</v>
      </c>
      <c r="Q95" s="11" t="s">
        <v>423</v>
      </c>
      <c r="R95" s="23" t="s">
        <v>424</v>
      </c>
      <c r="S95" s="4" t="s">
        <v>423</v>
      </c>
      <c r="T95" s="4" t="s">
        <v>426</v>
      </c>
      <c r="U95" s="48" t="s">
        <v>427</v>
      </c>
      <c r="V95" s="43" t="s">
        <v>428</v>
      </c>
      <c r="W95" s="43" t="s">
        <v>429</v>
      </c>
      <c r="Y95" s="43" t="s">
        <v>430</v>
      </c>
      <c r="Z95" s="48" t="s">
        <v>431</v>
      </c>
    </row>
    <row r="96" spans="1:26" ht="39.6" hidden="1">
      <c r="A96" s="23" t="s">
        <v>437</v>
      </c>
      <c r="B96" s="4" t="s">
        <v>438</v>
      </c>
      <c r="C96" s="11" t="str">
        <f t="shared" si="2"/>
        <v>CSJ - Digitalización archivo físico - Cloud</v>
      </c>
      <c r="D96" s="4" t="s">
        <v>439</v>
      </c>
      <c r="E96" s="5" t="s">
        <v>68</v>
      </c>
      <c r="F96" s="5" t="s">
        <v>184</v>
      </c>
      <c r="G96" s="4" t="s">
        <v>70</v>
      </c>
      <c r="H96" s="11" t="str">
        <f>_xlfn.IFNA(VLOOKUP(F96,clientes!A:B,2,FALSE()),"--")</f>
        <v>Consejo Superior de la Judicatura</v>
      </c>
      <c r="I96" s="5" t="s">
        <v>71</v>
      </c>
      <c r="J96" s="15" t="s">
        <v>185</v>
      </c>
      <c r="K96" s="14" t="s">
        <v>440</v>
      </c>
      <c r="L96" s="10" t="s">
        <v>124</v>
      </c>
      <c r="M96" s="10" t="s">
        <v>135</v>
      </c>
      <c r="N96" s="10" t="s">
        <v>201</v>
      </c>
      <c r="O96" s="4" t="s">
        <v>298</v>
      </c>
      <c r="P96" s="11" t="s">
        <v>77</v>
      </c>
      <c r="Q96" s="11" t="s">
        <v>36</v>
      </c>
      <c r="R96" s="23" t="s">
        <v>441</v>
      </c>
      <c r="S96" s="10" t="s">
        <v>37</v>
      </c>
      <c r="U96" s="4" t="s">
        <v>38</v>
      </c>
      <c r="V96" s="4" t="s">
        <v>38</v>
      </c>
      <c r="W96" s="4" t="s">
        <v>38</v>
      </c>
    </row>
    <row r="97" spans="1:26" ht="39.6" hidden="1">
      <c r="A97" s="23" t="s">
        <v>442</v>
      </c>
      <c r="B97" s="4" t="s">
        <v>438</v>
      </c>
      <c r="C97" s="11" t="str">
        <f t="shared" si="2"/>
        <v>CSJ - Digitalización archivo físico - Fixed</v>
      </c>
      <c r="D97" s="4" t="s">
        <v>439</v>
      </c>
      <c r="E97" s="5" t="s">
        <v>80</v>
      </c>
      <c r="F97" s="5" t="s">
        <v>184</v>
      </c>
      <c r="G97" s="5" t="s">
        <v>81</v>
      </c>
      <c r="H97" s="11" t="str">
        <f>_xlfn.IFNA(VLOOKUP(F97,clientes!A:B,2,FALSE()),"--")</f>
        <v>Consejo Superior de la Judicatura</v>
      </c>
      <c r="I97" s="5" t="s">
        <v>71</v>
      </c>
      <c r="J97" s="15" t="s">
        <v>185</v>
      </c>
      <c r="K97" s="14" t="s">
        <v>440</v>
      </c>
      <c r="L97" s="10" t="s">
        <v>124</v>
      </c>
      <c r="M97" s="10" t="s">
        <v>135</v>
      </c>
      <c r="N97" s="10" t="s">
        <v>201</v>
      </c>
      <c r="O97" s="4" t="s">
        <v>298</v>
      </c>
      <c r="P97" s="11" t="s">
        <v>77</v>
      </c>
      <c r="Q97" s="11" t="s">
        <v>36</v>
      </c>
      <c r="R97" s="23" t="s">
        <v>441</v>
      </c>
      <c r="S97" s="4" t="s">
        <v>298</v>
      </c>
      <c r="U97" s="4" t="s">
        <v>38</v>
      </c>
      <c r="V97" s="4" t="s">
        <v>38</v>
      </c>
      <c r="W97" s="4" t="s">
        <v>38</v>
      </c>
    </row>
    <row r="98" spans="1:26" ht="39.6" hidden="1">
      <c r="A98" s="23" t="s">
        <v>443</v>
      </c>
      <c r="B98" s="5" t="s">
        <v>182</v>
      </c>
      <c r="C98" s="11" t="str">
        <f t="shared" ref="C98:C129" si="3">F98&amp;" - "&amp;D98&amp;" - "&amp;E98</f>
        <v>CSJ - Migración AWS - Cloud</v>
      </c>
      <c r="D98" s="5" t="s">
        <v>183</v>
      </c>
      <c r="E98" s="5" t="s">
        <v>68</v>
      </c>
      <c r="F98" s="5" t="s">
        <v>184</v>
      </c>
      <c r="G98" s="4" t="s">
        <v>70</v>
      </c>
      <c r="H98" s="11" t="str">
        <f>_xlfn.IFNA(VLOOKUP(F98,clientes!A:B,2,FALSE()),"--")</f>
        <v>Consejo Superior de la Judicatura</v>
      </c>
      <c r="I98" s="5" t="s">
        <v>71</v>
      </c>
      <c r="J98" s="6" t="s">
        <v>185</v>
      </c>
      <c r="K98" s="7" t="s">
        <v>186</v>
      </c>
      <c r="L98" s="10" t="s">
        <v>124</v>
      </c>
      <c r="M98" s="13" t="s">
        <v>187</v>
      </c>
      <c r="N98" s="10" t="s">
        <v>201</v>
      </c>
      <c r="O98" s="4" t="s">
        <v>444</v>
      </c>
      <c r="P98" s="11" t="s">
        <v>77</v>
      </c>
      <c r="Q98" s="11" t="s">
        <v>36</v>
      </c>
      <c r="R98" s="23" t="s">
        <v>188</v>
      </c>
      <c r="S98" s="10" t="s">
        <v>37</v>
      </c>
      <c r="U98" s="4" t="s">
        <v>38</v>
      </c>
      <c r="V98" s="4" t="s">
        <v>38</v>
      </c>
      <c r="W98" s="4" t="s">
        <v>38</v>
      </c>
    </row>
    <row r="99" spans="1:26" ht="13.15" hidden="1">
      <c r="A99" s="22" t="s">
        <v>443</v>
      </c>
      <c r="B99" s="5" t="s">
        <v>43</v>
      </c>
      <c r="C99" s="11" t="str">
        <f t="shared" si="3"/>
        <v>BLD - All-Start Program LATAM - Internal</v>
      </c>
      <c r="D99" s="4" t="s">
        <v>445</v>
      </c>
      <c r="E99" s="5" t="s">
        <v>30</v>
      </c>
      <c r="F99" s="5" t="s">
        <v>31</v>
      </c>
      <c r="G99" s="5" t="s">
        <v>32</v>
      </c>
      <c r="H99" s="11" t="str">
        <f>_xlfn.IFNA(VLOOKUP(F99,clientes!A:B,2,FALSE()),"--")</f>
        <v>Blend360</v>
      </c>
      <c r="I99" s="5" t="s">
        <v>33</v>
      </c>
      <c r="J99" s="11" t="s">
        <v>34</v>
      </c>
      <c r="K99" s="5" t="s">
        <v>34</v>
      </c>
      <c r="L99" s="4" t="s">
        <v>34</v>
      </c>
      <c r="M99" s="4" t="s">
        <v>34</v>
      </c>
      <c r="N99" s="4" t="s">
        <v>34</v>
      </c>
      <c r="O99" s="4" t="s">
        <v>34</v>
      </c>
      <c r="P99" s="11" t="s">
        <v>35</v>
      </c>
      <c r="Q99" s="11" t="s">
        <v>36</v>
      </c>
      <c r="R99" s="22">
        <v>5045</v>
      </c>
      <c r="S99" s="10" t="s">
        <v>37</v>
      </c>
      <c r="U99" s="4" t="s">
        <v>38</v>
      </c>
      <c r="V99" s="4" t="s">
        <v>38</v>
      </c>
      <c r="W99" s="4" t="s">
        <v>38</v>
      </c>
    </row>
    <row r="100" spans="1:26" ht="39.6" hidden="1">
      <c r="A100" s="23" t="s">
        <v>446</v>
      </c>
      <c r="B100" s="5" t="s">
        <v>447</v>
      </c>
      <c r="C100" s="11" t="str">
        <f t="shared" si="3"/>
        <v>CSJ - PoC Agente para exposición contenido - Cloud</v>
      </c>
      <c r="D100" s="5" t="s">
        <v>448</v>
      </c>
      <c r="E100" s="5" t="s">
        <v>68</v>
      </c>
      <c r="F100" s="5" t="s">
        <v>184</v>
      </c>
      <c r="G100" s="4" t="s">
        <v>70</v>
      </c>
      <c r="H100" s="11" t="str">
        <f>_xlfn.IFNA(VLOOKUP(F100,clientes!A:B,2,FALSE()),"--")</f>
        <v>Consejo Superior de la Judicatura</v>
      </c>
      <c r="I100" s="5" t="s">
        <v>71</v>
      </c>
      <c r="J100" s="12" t="s">
        <v>185</v>
      </c>
      <c r="K100" s="5" t="s">
        <v>449</v>
      </c>
      <c r="L100" s="10" t="s">
        <v>124</v>
      </c>
      <c r="M100" s="10" t="s">
        <v>135</v>
      </c>
      <c r="N100" s="10" t="s">
        <v>201</v>
      </c>
      <c r="O100" s="4" t="s">
        <v>444</v>
      </c>
      <c r="P100" s="11" t="s">
        <v>77</v>
      </c>
      <c r="Q100" s="11" t="s">
        <v>36</v>
      </c>
      <c r="R100" s="23" t="s">
        <v>450</v>
      </c>
      <c r="S100" s="10" t="s">
        <v>37</v>
      </c>
      <c r="U100" s="4" t="s">
        <v>38</v>
      </c>
      <c r="V100" s="4" t="s">
        <v>38</v>
      </c>
      <c r="W100" s="4" t="s">
        <v>38</v>
      </c>
    </row>
    <row r="101" spans="1:26" ht="39.6" hidden="1">
      <c r="A101" s="23" t="s">
        <v>451</v>
      </c>
      <c r="B101" s="5" t="s">
        <v>447</v>
      </c>
      <c r="C101" s="11" t="str">
        <f t="shared" si="3"/>
        <v>CSJ - PoC Agente para exposición contenido - Fixed</v>
      </c>
      <c r="D101" s="5" t="s">
        <v>448</v>
      </c>
      <c r="E101" s="5" t="s">
        <v>80</v>
      </c>
      <c r="F101" s="5" t="s">
        <v>184</v>
      </c>
      <c r="G101" s="5" t="s">
        <v>81</v>
      </c>
      <c r="H101" s="11" t="str">
        <f>_xlfn.IFNA(VLOOKUP(F101,clientes!A:B,2,FALSE()),"--")</f>
        <v>Consejo Superior de la Judicatura</v>
      </c>
      <c r="I101" s="5" t="s">
        <v>71</v>
      </c>
      <c r="J101" s="12" t="s">
        <v>185</v>
      </c>
      <c r="K101" s="5" t="s">
        <v>449</v>
      </c>
      <c r="L101" s="10" t="s">
        <v>124</v>
      </c>
      <c r="M101" s="10" t="s">
        <v>135</v>
      </c>
      <c r="N101" s="10" t="s">
        <v>201</v>
      </c>
      <c r="O101" s="4" t="s">
        <v>298</v>
      </c>
      <c r="P101" s="11" t="s">
        <v>77</v>
      </c>
      <c r="Q101" s="11" t="s">
        <v>36</v>
      </c>
      <c r="R101" s="23" t="s">
        <v>450</v>
      </c>
      <c r="S101" s="4" t="s">
        <v>298</v>
      </c>
      <c r="U101" s="4" t="s">
        <v>38</v>
      </c>
      <c r="V101" s="4" t="s">
        <v>38</v>
      </c>
      <c r="W101" s="4" t="s">
        <v>38</v>
      </c>
    </row>
    <row r="102" spans="1:26" ht="39.6" hidden="1">
      <c r="A102" s="23" t="s">
        <v>452</v>
      </c>
      <c r="B102" s="5" t="s">
        <v>447</v>
      </c>
      <c r="C102" s="11" t="str">
        <f t="shared" si="3"/>
        <v>CSJ - PoC Agente para exposición contenido - Ret SW</v>
      </c>
      <c r="D102" s="5" t="s">
        <v>448</v>
      </c>
      <c r="E102" s="5" t="s">
        <v>48</v>
      </c>
      <c r="F102" s="5" t="s">
        <v>184</v>
      </c>
      <c r="G102" s="5" t="s">
        <v>50</v>
      </c>
      <c r="H102" s="11" t="str">
        <f>_xlfn.IFNA(VLOOKUP(F102,clientes!A:B,2,FALSE()),"--")</f>
        <v>Consejo Superior de la Judicatura</v>
      </c>
      <c r="I102" s="5" t="s">
        <v>71</v>
      </c>
      <c r="J102" s="12" t="s">
        <v>185</v>
      </c>
      <c r="K102" s="5" t="s">
        <v>449</v>
      </c>
      <c r="L102" s="10" t="s">
        <v>124</v>
      </c>
      <c r="M102" s="10" t="s">
        <v>135</v>
      </c>
      <c r="N102" s="10" t="s">
        <v>201</v>
      </c>
      <c r="O102" s="4" t="s">
        <v>444</v>
      </c>
      <c r="P102" s="11" t="s">
        <v>77</v>
      </c>
      <c r="Q102" s="11" t="s">
        <v>36</v>
      </c>
      <c r="R102" s="23" t="s">
        <v>450</v>
      </c>
      <c r="S102" s="10" t="s">
        <v>37</v>
      </c>
      <c r="U102" s="4" t="s">
        <v>38</v>
      </c>
      <c r="V102" s="4" t="s">
        <v>38</v>
      </c>
      <c r="W102" s="4" t="s">
        <v>38</v>
      </c>
    </row>
    <row r="103" spans="1:26" ht="52.9" hidden="1">
      <c r="A103" s="23" t="s">
        <v>453</v>
      </c>
      <c r="B103" s="5" t="s">
        <v>454</v>
      </c>
      <c r="C103" s="11" t="str">
        <f t="shared" si="3"/>
        <v>FOA - Evolución Integral Mojana - Cloud</v>
      </c>
      <c r="D103" s="5" t="s">
        <v>455</v>
      </c>
      <c r="E103" s="5" t="s">
        <v>68</v>
      </c>
      <c r="F103" s="5" t="s">
        <v>238</v>
      </c>
      <c r="G103" s="4" t="s">
        <v>70</v>
      </c>
      <c r="H103" s="11" t="str">
        <f>_xlfn.IFNA(VLOOKUP(F103,clientes!A:B,2,FALSE()),"--")</f>
        <v>Fondo Adaptación</v>
      </c>
      <c r="I103" s="5" t="s">
        <v>33</v>
      </c>
      <c r="J103" s="6" t="s">
        <v>239</v>
      </c>
      <c r="K103" s="51" t="s">
        <v>456</v>
      </c>
      <c r="L103" s="4" t="s">
        <v>315</v>
      </c>
      <c r="M103" s="10" t="s">
        <v>457</v>
      </c>
      <c r="N103" s="10" t="s">
        <v>75</v>
      </c>
      <c r="O103" s="4" t="s">
        <v>397</v>
      </c>
      <c r="P103" s="11" t="s">
        <v>35</v>
      </c>
      <c r="Q103" s="11" t="s">
        <v>36</v>
      </c>
      <c r="R103" s="23" t="s">
        <v>458</v>
      </c>
      <c r="S103" s="4" t="s">
        <v>36</v>
      </c>
      <c r="T103" s="4" t="s">
        <v>426</v>
      </c>
      <c r="U103" s="48" t="s">
        <v>459</v>
      </c>
      <c r="V103" s="48" t="s">
        <v>460</v>
      </c>
      <c r="W103" s="48" t="s">
        <v>461</v>
      </c>
      <c r="Y103" s="48" t="s">
        <v>462</v>
      </c>
      <c r="Z103" s="48" t="s">
        <v>463</v>
      </c>
    </row>
    <row r="104" spans="1:26" ht="52.9" hidden="1">
      <c r="A104" s="23" t="s">
        <v>464</v>
      </c>
      <c r="B104" s="5" t="s">
        <v>454</v>
      </c>
      <c r="C104" s="11" t="str">
        <f t="shared" si="3"/>
        <v>FOA - Evolución Integral Mojana - Fixed</v>
      </c>
      <c r="D104" s="5" t="s">
        <v>455</v>
      </c>
      <c r="E104" s="5" t="s">
        <v>80</v>
      </c>
      <c r="F104" s="5" t="s">
        <v>238</v>
      </c>
      <c r="G104" s="5" t="s">
        <v>81</v>
      </c>
      <c r="H104" s="11" t="str">
        <f>_xlfn.IFNA(VLOOKUP(F104,clientes!A:B,2,FALSE()),"--")</f>
        <v>Fondo Adaptación</v>
      </c>
      <c r="I104" s="5" t="s">
        <v>33</v>
      </c>
      <c r="J104" s="6" t="s">
        <v>239</v>
      </c>
      <c r="K104" s="51" t="s">
        <v>465</v>
      </c>
      <c r="L104" s="4" t="s">
        <v>315</v>
      </c>
      <c r="M104" s="10" t="s">
        <v>457</v>
      </c>
      <c r="N104" s="10" t="s">
        <v>75</v>
      </c>
      <c r="O104" s="4" t="s">
        <v>397</v>
      </c>
      <c r="P104" s="11" t="s">
        <v>35</v>
      </c>
      <c r="Q104" s="11" t="s">
        <v>36</v>
      </c>
      <c r="R104" s="23" t="s">
        <v>458</v>
      </c>
      <c r="S104" s="4" t="s">
        <v>241</v>
      </c>
      <c r="T104" s="4" t="s">
        <v>426</v>
      </c>
      <c r="U104" s="48" t="s">
        <v>459</v>
      </c>
      <c r="V104" s="48" t="s">
        <v>460</v>
      </c>
      <c r="W104" s="48" t="s">
        <v>461</v>
      </c>
      <c r="Y104" s="48" t="s">
        <v>462</v>
      </c>
      <c r="Z104" s="48" t="s">
        <v>463</v>
      </c>
    </row>
    <row r="105" spans="1:26" ht="52.9" hidden="1">
      <c r="A105" s="23" t="s">
        <v>466</v>
      </c>
      <c r="B105" s="5" t="s">
        <v>454</v>
      </c>
      <c r="C105" s="11" t="str">
        <f t="shared" si="3"/>
        <v>FOA - Evolución Integral Mojana - Ret</v>
      </c>
      <c r="D105" s="5" t="s">
        <v>455</v>
      </c>
      <c r="E105" s="5" t="s">
        <v>60</v>
      </c>
      <c r="F105" s="5" t="s">
        <v>238</v>
      </c>
      <c r="G105" s="5" t="s">
        <v>61</v>
      </c>
      <c r="H105" s="11" t="str">
        <f>_xlfn.IFNA(VLOOKUP(F105,clientes!A:B,2,FALSE()),"--")</f>
        <v>Fondo Adaptación</v>
      </c>
      <c r="I105" s="5" t="s">
        <v>33</v>
      </c>
      <c r="J105" s="6" t="s">
        <v>239</v>
      </c>
      <c r="K105" s="51" t="s">
        <v>465</v>
      </c>
      <c r="L105" s="4" t="s">
        <v>315</v>
      </c>
      <c r="M105" s="10" t="s">
        <v>457</v>
      </c>
      <c r="N105" s="10" t="s">
        <v>75</v>
      </c>
      <c r="O105" s="4" t="s">
        <v>397</v>
      </c>
      <c r="P105" s="11" t="s">
        <v>35</v>
      </c>
      <c r="Q105" s="11" t="s">
        <v>391</v>
      </c>
      <c r="R105" s="23" t="s">
        <v>458</v>
      </c>
      <c r="S105" s="4" t="s">
        <v>467</v>
      </c>
      <c r="T105" s="4" t="s">
        <v>426</v>
      </c>
      <c r="U105" s="48" t="s">
        <v>459</v>
      </c>
      <c r="V105" s="48" t="s">
        <v>460</v>
      </c>
      <c r="W105" s="48" t="s">
        <v>461</v>
      </c>
      <c r="Y105" s="48" t="s">
        <v>462</v>
      </c>
      <c r="Z105" s="48" t="s">
        <v>463</v>
      </c>
    </row>
    <row r="106" spans="1:26" ht="52.9" hidden="1">
      <c r="A106" s="23" t="s">
        <v>468</v>
      </c>
      <c r="B106" s="5" t="s">
        <v>454</v>
      </c>
      <c r="C106" s="11" t="str">
        <f t="shared" si="3"/>
        <v>FOA - Evolución Integral Mojana - Ret SW</v>
      </c>
      <c r="D106" s="5" t="s">
        <v>455</v>
      </c>
      <c r="E106" s="5" t="s">
        <v>48</v>
      </c>
      <c r="F106" s="5" t="s">
        <v>238</v>
      </c>
      <c r="G106" s="5" t="s">
        <v>50</v>
      </c>
      <c r="H106" s="11" t="str">
        <f>_xlfn.IFNA(VLOOKUP(F106,clientes!A:B,2,FALSE()),"--")</f>
        <v>Fondo Adaptación</v>
      </c>
      <c r="I106" s="5" t="s">
        <v>33</v>
      </c>
      <c r="J106" s="6" t="s">
        <v>239</v>
      </c>
      <c r="K106" s="51" t="s">
        <v>465</v>
      </c>
      <c r="L106" s="4" t="s">
        <v>315</v>
      </c>
      <c r="M106" s="10" t="s">
        <v>457</v>
      </c>
      <c r="N106" s="10" t="s">
        <v>75</v>
      </c>
      <c r="O106" s="4" t="s">
        <v>397</v>
      </c>
      <c r="P106" s="11" t="s">
        <v>35</v>
      </c>
      <c r="Q106" s="11" t="s">
        <v>36</v>
      </c>
      <c r="R106" s="23" t="s">
        <v>458</v>
      </c>
      <c r="S106" s="10" t="s">
        <v>37</v>
      </c>
      <c r="T106" s="4" t="s">
        <v>426</v>
      </c>
      <c r="U106" s="48" t="s">
        <v>459</v>
      </c>
      <c r="V106" s="48" t="s">
        <v>460</v>
      </c>
      <c r="W106" s="48" t="s">
        <v>461</v>
      </c>
      <c r="Y106" s="48" t="s">
        <v>462</v>
      </c>
      <c r="Z106" s="48" t="s">
        <v>463</v>
      </c>
    </row>
    <row r="107" spans="1:26" ht="39.6" hidden="1">
      <c r="A107" s="23" t="s">
        <v>469</v>
      </c>
      <c r="B107" s="5" t="s">
        <v>454</v>
      </c>
      <c r="C107" s="11" t="str">
        <f t="shared" si="3"/>
        <v>FOA - Evolución Integral Mojana - Ret Other Vendors</v>
      </c>
      <c r="D107" s="5" t="s">
        <v>455</v>
      </c>
      <c r="E107" s="5" t="s">
        <v>347</v>
      </c>
      <c r="F107" s="5" t="s">
        <v>238</v>
      </c>
      <c r="G107" s="5" t="s">
        <v>61</v>
      </c>
      <c r="H107" s="11" t="str">
        <f>_xlfn.IFNA(VLOOKUP(F107,clientes!A:B,2,FALSE()),"--")</f>
        <v>Fondo Adaptación</v>
      </c>
      <c r="I107" s="5" t="s">
        <v>33</v>
      </c>
      <c r="J107" s="6" t="s">
        <v>239</v>
      </c>
      <c r="K107" s="51" t="s">
        <v>465</v>
      </c>
      <c r="L107" s="4" t="s">
        <v>315</v>
      </c>
      <c r="M107" s="10" t="s">
        <v>457</v>
      </c>
      <c r="N107" s="10" t="s">
        <v>75</v>
      </c>
      <c r="O107" s="4" t="s">
        <v>397</v>
      </c>
      <c r="P107" s="11" t="s">
        <v>35</v>
      </c>
      <c r="Q107" s="11" t="s">
        <v>36</v>
      </c>
      <c r="R107" s="23" t="s">
        <v>348</v>
      </c>
      <c r="S107" s="10" t="s">
        <v>37</v>
      </c>
      <c r="T107" s="4" t="s">
        <v>426</v>
      </c>
      <c r="U107" s="48" t="s">
        <v>459</v>
      </c>
      <c r="V107" s="48" t="s">
        <v>460</v>
      </c>
      <c r="W107" s="48" t="s">
        <v>461</v>
      </c>
      <c r="Y107" s="48" t="s">
        <v>462</v>
      </c>
      <c r="Z107" s="48" t="s">
        <v>463</v>
      </c>
    </row>
    <row r="108" spans="1:26" ht="39.6" hidden="1">
      <c r="A108" s="23" t="s">
        <v>470</v>
      </c>
      <c r="B108" s="5" t="s">
        <v>471</v>
      </c>
      <c r="C108" s="11" t="str">
        <f t="shared" si="3"/>
        <v>UNA - Facultad de Derecho concurso méritos - Cloud</v>
      </c>
      <c r="D108" s="5" t="s">
        <v>472</v>
      </c>
      <c r="E108" s="5" t="s">
        <v>68</v>
      </c>
      <c r="F108" s="5" t="s">
        <v>192</v>
      </c>
      <c r="G108" s="4" t="s">
        <v>70</v>
      </c>
      <c r="H108" s="11" t="str">
        <f>_xlfn.IFNA(VLOOKUP(F108,clientes!A:B,2,FALSE()),"--")</f>
        <v>Universidad Nacional de Colombia</v>
      </c>
      <c r="I108" s="5" t="s">
        <v>33</v>
      </c>
      <c r="J108" s="15" t="s">
        <v>210</v>
      </c>
      <c r="K108" s="19" t="s">
        <v>194</v>
      </c>
      <c r="L108" s="4" t="s">
        <v>53</v>
      </c>
      <c r="M108" s="10" t="s">
        <v>95</v>
      </c>
      <c r="N108" s="10" t="s">
        <v>136</v>
      </c>
      <c r="O108" s="4" t="s">
        <v>137</v>
      </c>
      <c r="P108" s="11" t="s">
        <v>35</v>
      </c>
      <c r="Q108" s="11" t="s">
        <v>36</v>
      </c>
      <c r="R108" s="23" t="s">
        <v>473</v>
      </c>
      <c r="S108" s="10" t="s">
        <v>37</v>
      </c>
      <c r="U108" s="4" t="s">
        <v>38</v>
      </c>
      <c r="V108" s="4" t="s">
        <v>38</v>
      </c>
      <c r="W108" s="4" t="s">
        <v>38</v>
      </c>
    </row>
    <row r="109" spans="1:26" ht="39.6" hidden="1">
      <c r="A109" s="23" t="s">
        <v>474</v>
      </c>
      <c r="B109" s="5" t="s">
        <v>471</v>
      </c>
      <c r="C109" s="11" t="str">
        <f t="shared" si="3"/>
        <v>UNA - Facultad de Derecho concurso méritos - Ret</v>
      </c>
      <c r="D109" s="5" t="s">
        <v>472</v>
      </c>
      <c r="E109" s="5" t="s">
        <v>60</v>
      </c>
      <c r="F109" s="5" t="s">
        <v>192</v>
      </c>
      <c r="G109" s="5" t="s">
        <v>61</v>
      </c>
      <c r="H109" s="11" t="str">
        <f>_xlfn.IFNA(VLOOKUP(F109,clientes!A:B,2,FALSE()),"--")</f>
        <v>Universidad Nacional de Colombia</v>
      </c>
      <c r="I109" s="5" t="s">
        <v>33</v>
      </c>
      <c r="J109" s="15" t="s">
        <v>210</v>
      </c>
      <c r="K109" s="19" t="s">
        <v>194</v>
      </c>
      <c r="L109" s="4" t="s">
        <v>53</v>
      </c>
      <c r="M109" s="10" t="s">
        <v>95</v>
      </c>
      <c r="N109" s="10" t="s">
        <v>136</v>
      </c>
      <c r="O109" s="4" t="s">
        <v>137</v>
      </c>
      <c r="P109" s="11" t="s">
        <v>35</v>
      </c>
      <c r="Q109" s="11" t="s">
        <v>36</v>
      </c>
      <c r="R109" s="23" t="s">
        <v>473</v>
      </c>
      <c r="S109" s="4" t="s">
        <v>138</v>
      </c>
      <c r="U109" s="4" t="s">
        <v>38</v>
      </c>
      <c r="V109" s="4" t="s">
        <v>38</v>
      </c>
      <c r="W109" s="4" t="s">
        <v>38</v>
      </c>
    </row>
    <row r="110" spans="1:26" ht="39.6" hidden="1">
      <c r="A110" s="23" t="s">
        <v>475</v>
      </c>
      <c r="B110" s="5" t="s">
        <v>476</v>
      </c>
      <c r="C110" s="11" t="str">
        <f t="shared" si="3"/>
        <v>UNA - OSE 26 Admisiones - Cloud</v>
      </c>
      <c r="D110" s="11" t="s">
        <v>477</v>
      </c>
      <c r="E110" s="5" t="s">
        <v>68</v>
      </c>
      <c r="F110" s="5" t="s">
        <v>192</v>
      </c>
      <c r="G110" s="4" t="s">
        <v>70</v>
      </c>
      <c r="H110" s="11" t="str">
        <f>_xlfn.IFNA(VLOOKUP(F110,clientes!A:B,2,FALSE()),"--")</f>
        <v>Universidad Nacional de Colombia</v>
      </c>
      <c r="I110" s="5" t="s">
        <v>33</v>
      </c>
      <c r="J110" s="15" t="s">
        <v>193</v>
      </c>
      <c r="K110" s="19" t="s">
        <v>194</v>
      </c>
      <c r="L110" s="4" t="s">
        <v>53</v>
      </c>
      <c r="M110" s="10" t="s">
        <v>95</v>
      </c>
      <c r="N110" s="10" t="s">
        <v>136</v>
      </c>
      <c r="O110" s="4" t="s">
        <v>137</v>
      </c>
      <c r="P110" s="11" t="s">
        <v>35</v>
      </c>
      <c r="Q110" s="11" t="s">
        <v>36</v>
      </c>
      <c r="R110" s="23" t="s">
        <v>478</v>
      </c>
      <c r="S110" s="10" t="s">
        <v>37</v>
      </c>
      <c r="U110" s="4" t="s">
        <v>38</v>
      </c>
      <c r="V110" s="4" t="s">
        <v>38</v>
      </c>
      <c r="W110" s="4" t="s">
        <v>38</v>
      </c>
    </row>
    <row r="111" spans="1:26" ht="26.45" hidden="1">
      <c r="A111" s="22" t="s">
        <v>479</v>
      </c>
      <c r="B111" s="5" t="s">
        <v>102</v>
      </c>
      <c r="C111" s="11" t="str">
        <f t="shared" si="3"/>
        <v>AGR - Multicash Operación - Cloud</v>
      </c>
      <c r="D111" s="5" t="s">
        <v>480</v>
      </c>
      <c r="E111" s="5" t="s">
        <v>68</v>
      </c>
      <c r="F111" s="5" t="s">
        <v>104</v>
      </c>
      <c r="G111" s="5" t="s">
        <v>70</v>
      </c>
      <c r="H111" s="11" t="str">
        <f>_xlfn.IFNA(VLOOKUP(F111,clientes!A:B,2,FALSE()),"--")</f>
        <v>Fiduagraria</v>
      </c>
      <c r="I111" s="5" t="s">
        <v>71</v>
      </c>
      <c r="J111" s="6" t="s">
        <v>481</v>
      </c>
      <c r="K111" s="7" t="s">
        <v>482</v>
      </c>
      <c r="L111" s="10" t="s">
        <v>73</v>
      </c>
      <c r="M111" s="10" t="s">
        <v>95</v>
      </c>
      <c r="N111" s="10" t="s">
        <v>75</v>
      </c>
      <c r="O111" s="4" t="s">
        <v>107</v>
      </c>
      <c r="P111" s="11" t="s">
        <v>77</v>
      </c>
      <c r="U111" s="4" t="s">
        <v>38</v>
      </c>
      <c r="V111" s="4" t="s">
        <v>38</v>
      </c>
      <c r="W111" s="4" t="s">
        <v>38</v>
      </c>
    </row>
    <row r="112" spans="1:26" ht="26.45" hidden="1">
      <c r="A112" s="22" t="s">
        <v>483</v>
      </c>
      <c r="B112" s="5" t="s">
        <v>102</v>
      </c>
      <c r="C112" s="11" t="str">
        <f t="shared" si="3"/>
        <v>AGR - Quicksight Operación  - Cloud</v>
      </c>
      <c r="D112" s="5" t="s">
        <v>484</v>
      </c>
      <c r="E112" s="5" t="s">
        <v>68</v>
      </c>
      <c r="F112" s="5" t="s">
        <v>104</v>
      </c>
      <c r="G112" s="4" t="s">
        <v>70</v>
      </c>
      <c r="H112" s="11" t="str">
        <f>_xlfn.IFNA(VLOOKUP(F112,clientes!A:B,2,FALSE()),"--")</f>
        <v>Fiduagraria</v>
      </c>
      <c r="I112" s="5" t="s">
        <v>71</v>
      </c>
      <c r="J112" s="12" t="s">
        <v>105</v>
      </c>
      <c r="K112" s="53" t="s">
        <v>106</v>
      </c>
      <c r="L112" s="10" t="s">
        <v>73</v>
      </c>
      <c r="M112" s="10" t="s">
        <v>95</v>
      </c>
      <c r="N112" s="10" t="s">
        <v>75</v>
      </c>
      <c r="O112" s="4" t="s">
        <v>107</v>
      </c>
      <c r="P112" s="11" t="s">
        <v>77</v>
      </c>
      <c r="U112" s="4" t="s">
        <v>38</v>
      </c>
      <c r="V112" s="4" t="s">
        <v>38</v>
      </c>
      <c r="W112" s="4" t="s">
        <v>38</v>
      </c>
    </row>
    <row r="113" spans="1:26" ht="26.45" hidden="1">
      <c r="A113" s="22" t="s">
        <v>485</v>
      </c>
      <c r="B113" s="5" t="s">
        <v>102</v>
      </c>
      <c r="C113" s="11" t="str">
        <f t="shared" si="3"/>
        <v>AGR - Snaptask Operación  - Ret SW</v>
      </c>
      <c r="D113" s="5" t="s">
        <v>486</v>
      </c>
      <c r="E113" s="4" t="s">
        <v>48</v>
      </c>
      <c r="F113" s="5" t="s">
        <v>104</v>
      </c>
      <c r="G113" s="5" t="s">
        <v>50</v>
      </c>
      <c r="H113" s="11" t="str">
        <f>_xlfn.IFNA(VLOOKUP(F113,clientes!A:B,2,FALSE()),"--")</f>
        <v>Fiduagraria</v>
      </c>
      <c r="I113" s="5" t="s">
        <v>71</v>
      </c>
      <c r="J113" s="12" t="s">
        <v>111</v>
      </c>
      <c r="K113" s="27" t="s">
        <v>112</v>
      </c>
      <c r="L113" s="10" t="s">
        <v>73</v>
      </c>
      <c r="M113" s="10" t="s">
        <v>95</v>
      </c>
      <c r="N113" s="10" t="s">
        <v>75</v>
      </c>
      <c r="O113" s="4" t="s">
        <v>107</v>
      </c>
      <c r="P113" s="11" t="s">
        <v>77</v>
      </c>
      <c r="U113" s="4" t="s">
        <v>38</v>
      </c>
      <c r="V113" s="4" t="s">
        <v>38</v>
      </c>
      <c r="W113" s="4" t="s">
        <v>38</v>
      </c>
    </row>
    <row r="114" spans="1:26" ht="39.6" hidden="1">
      <c r="A114" s="23" t="s">
        <v>487</v>
      </c>
      <c r="B114" s="5" t="s">
        <v>488</v>
      </c>
      <c r="C114" s="11" t="str">
        <f t="shared" si="3"/>
        <v>UNA - OSE 43 Moodle Extensión - Cloud</v>
      </c>
      <c r="D114" s="5" t="s">
        <v>489</v>
      </c>
      <c r="E114" s="5" t="s">
        <v>68</v>
      </c>
      <c r="F114" s="5" t="s">
        <v>192</v>
      </c>
      <c r="G114" s="4" t="s">
        <v>70</v>
      </c>
      <c r="H114" s="11" t="str">
        <f>_xlfn.IFNA(VLOOKUP(F114,clientes!A:B,2,FALSE()),"--")</f>
        <v>Universidad Nacional de Colombia</v>
      </c>
      <c r="I114" s="5" t="s">
        <v>33</v>
      </c>
      <c r="J114" s="15" t="s">
        <v>193</v>
      </c>
      <c r="K114" s="19" t="s">
        <v>194</v>
      </c>
      <c r="L114" s="4" t="s">
        <v>53</v>
      </c>
      <c r="M114" s="10" t="s">
        <v>95</v>
      </c>
      <c r="N114" s="10" t="s">
        <v>136</v>
      </c>
      <c r="O114" s="4" t="s">
        <v>137</v>
      </c>
      <c r="P114" s="11" t="s">
        <v>35</v>
      </c>
      <c r="Q114" s="11" t="s">
        <v>36</v>
      </c>
      <c r="R114" s="23" t="s">
        <v>490</v>
      </c>
      <c r="S114" s="10" t="s">
        <v>37</v>
      </c>
      <c r="U114" s="4" t="s">
        <v>38</v>
      </c>
      <c r="V114" s="4" t="s">
        <v>38</v>
      </c>
      <c r="W114" s="4" t="s">
        <v>38</v>
      </c>
    </row>
    <row r="115" spans="1:26" ht="39.6" hidden="1">
      <c r="A115" s="23" t="s">
        <v>491</v>
      </c>
      <c r="B115" s="5" t="s">
        <v>488</v>
      </c>
      <c r="C115" s="11" t="str">
        <f t="shared" si="3"/>
        <v>UNA - OSE 43 Moodle Extensión - Ret</v>
      </c>
      <c r="D115" s="5" t="s">
        <v>489</v>
      </c>
      <c r="E115" s="5" t="s">
        <v>60</v>
      </c>
      <c r="F115" s="5" t="s">
        <v>192</v>
      </c>
      <c r="G115" s="5" t="s">
        <v>61</v>
      </c>
      <c r="H115" s="11" t="str">
        <f>_xlfn.IFNA(VLOOKUP(F115,clientes!A:B,2,FALSE()),"--")</f>
        <v>Universidad Nacional de Colombia</v>
      </c>
      <c r="I115" s="5" t="s">
        <v>33</v>
      </c>
      <c r="J115" s="15" t="s">
        <v>193</v>
      </c>
      <c r="K115" s="19" t="s">
        <v>194</v>
      </c>
      <c r="L115" s="4" t="s">
        <v>53</v>
      </c>
      <c r="M115" s="10" t="s">
        <v>95</v>
      </c>
      <c r="N115" s="10" t="s">
        <v>136</v>
      </c>
      <c r="O115" s="4" t="s">
        <v>137</v>
      </c>
      <c r="P115" s="11" t="s">
        <v>35</v>
      </c>
      <c r="R115" s="22">
        <v>2623</v>
      </c>
      <c r="U115" s="4" t="s">
        <v>38</v>
      </c>
      <c r="V115" s="4" t="s">
        <v>38</v>
      </c>
      <c r="W115" s="4" t="s">
        <v>38</v>
      </c>
    </row>
    <row r="116" spans="1:26" ht="39.6" hidden="1">
      <c r="A116" s="23" t="s">
        <v>189</v>
      </c>
      <c r="B116" s="5" t="s">
        <v>492</v>
      </c>
      <c r="C116" s="11" t="str">
        <f t="shared" si="3"/>
        <v>UNA - Dinara de UNAL - Ret</v>
      </c>
      <c r="D116" s="5" t="s">
        <v>493</v>
      </c>
      <c r="E116" s="5" t="s">
        <v>60</v>
      </c>
      <c r="F116" s="5" t="s">
        <v>192</v>
      </c>
      <c r="G116" s="5" t="s">
        <v>61</v>
      </c>
      <c r="H116" s="11" t="str">
        <f>_xlfn.IFNA(VLOOKUP(F116,clientes!A:B,2,FALSE()),"--")</f>
        <v>Universidad Nacional de Colombia</v>
      </c>
      <c r="I116" s="5" t="s">
        <v>33</v>
      </c>
      <c r="J116" s="55" t="s">
        <v>193</v>
      </c>
      <c r="K116" s="56" t="s">
        <v>194</v>
      </c>
      <c r="L116" s="4" t="s">
        <v>53</v>
      </c>
      <c r="M116" s="10" t="s">
        <v>95</v>
      </c>
      <c r="N116" s="10" t="s">
        <v>136</v>
      </c>
      <c r="O116" s="4" t="s">
        <v>137</v>
      </c>
      <c r="P116" s="11" t="s">
        <v>35</v>
      </c>
      <c r="R116" s="22">
        <v>2618</v>
      </c>
      <c r="U116" s="4" t="s">
        <v>38</v>
      </c>
      <c r="V116" s="4" t="s">
        <v>38</v>
      </c>
      <c r="W116" s="4" t="s">
        <v>38</v>
      </c>
    </row>
    <row r="117" spans="1:26" ht="39.6" hidden="1">
      <c r="A117" s="23" t="s">
        <v>494</v>
      </c>
      <c r="B117" s="5" t="s">
        <v>492</v>
      </c>
      <c r="C117" s="11" t="str">
        <f t="shared" si="3"/>
        <v>UNA - Dinara de UNAL - Cloud</v>
      </c>
      <c r="D117" s="5" t="s">
        <v>493</v>
      </c>
      <c r="E117" s="5" t="s">
        <v>68</v>
      </c>
      <c r="F117" s="5" t="s">
        <v>192</v>
      </c>
      <c r="G117" s="4" t="s">
        <v>70</v>
      </c>
      <c r="H117" s="11" t="str">
        <f>_xlfn.IFNA(VLOOKUP(F117,clientes!A:B,2,FALSE()),"--")</f>
        <v>Universidad Nacional de Colombia</v>
      </c>
      <c r="I117" s="5" t="s">
        <v>33</v>
      </c>
      <c r="J117" s="15" t="s">
        <v>193</v>
      </c>
      <c r="K117" s="19" t="s">
        <v>194</v>
      </c>
      <c r="L117" s="4" t="s">
        <v>53</v>
      </c>
      <c r="M117" s="10" t="s">
        <v>95</v>
      </c>
      <c r="N117" s="10" t="s">
        <v>136</v>
      </c>
      <c r="O117" s="4" t="s">
        <v>137</v>
      </c>
      <c r="P117" s="11" t="s">
        <v>35</v>
      </c>
      <c r="Q117" s="11" t="s">
        <v>36</v>
      </c>
      <c r="R117" s="23" t="s">
        <v>495</v>
      </c>
      <c r="S117" s="10" t="s">
        <v>37</v>
      </c>
      <c r="U117" s="4" t="s">
        <v>38</v>
      </c>
      <c r="V117" s="4" t="s">
        <v>38</v>
      </c>
      <c r="W117" s="4" t="s">
        <v>38</v>
      </c>
    </row>
    <row r="118" spans="1:26" ht="39.6" hidden="1">
      <c r="A118" s="23" t="s">
        <v>496</v>
      </c>
      <c r="B118" s="58" t="s">
        <v>497</v>
      </c>
      <c r="C118" s="11" t="str">
        <f t="shared" si="3"/>
        <v>UNA - Facultad de Derecho - Cloud</v>
      </c>
      <c r="D118" s="5" t="s">
        <v>498</v>
      </c>
      <c r="E118" s="5" t="s">
        <v>68</v>
      </c>
      <c r="F118" s="5" t="s">
        <v>192</v>
      </c>
      <c r="G118" s="4" t="s">
        <v>70</v>
      </c>
      <c r="H118" s="11" t="str">
        <f>_xlfn.IFNA(VLOOKUP(F118,clientes!A:B,2,FALSE()),"--")</f>
        <v>Universidad Nacional de Colombia</v>
      </c>
      <c r="I118" s="5" t="s">
        <v>33</v>
      </c>
      <c r="J118" s="15" t="s">
        <v>193</v>
      </c>
      <c r="K118" s="19" t="s">
        <v>194</v>
      </c>
      <c r="L118" s="4" t="s">
        <v>53</v>
      </c>
      <c r="M118" s="10" t="s">
        <v>95</v>
      </c>
      <c r="N118" s="10" t="s">
        <v>136</v>
      </c>
      <c r="O118" s="4" t="s">
        <v>137</v>
      </c>
      <c r="P118" s="11" t="s">
        <v>35</v>
      </c>
      <c r="Q118" s="11" t="s">
        <v>36</v>
      </c>
      <c r="R118" s="23" t="s">
        <v>499</v>
      </c>
      <c r="S118" s="10" t="s">
        <v>37</v>
      </c>
      <c r="U118" s="4" t="s">
        <v>38</v>
      </c>
      <c r="V118" s="4" t="s">
        <v>38</v>
      </c>
      <c r="W118" s="4" t="s">
        <v>38</v>
      </c>
    </row>
    <row r="119" spans="1:26" ht="39.6" hidden="1">
      <c r="A119" s="23" t="s">
        <v>500</v>
      </c>
      <c r="B119" s="58" t="s">
        <v>497</v>
      </c>
      <c r="C119" s="11" t="str">
        <f t="shared" si="3"/>
        <v>UNA - Facultad de Derecho - Ret</v>
      </c>
      <c r="D119" s="5" t="s">
        <v>498</v>
      </c>
      <c r="E119" s="5" t="s">
        <v>60</v>
      </c>
      <c r="F119" s="5" t="s">
        <v>192</v>
      </c>
      <c r="G119" s="5" t="s">
        <v>61</v>
      </c>
      <c r="H119" s="11" t="str">
        <f>_xlfn.IFNA(VLOOKUP(F119,clientes!A:B,2,FALSE()),"--")</f>
        <v>Universidad Nacional de Colombia</v>
      </c>
      <c r="I119" s="5" t="s">
        <v>33</v>
      </c>
      <c r="J119" s="15" t="s">
        <v>193</v>
      </c>
      <c r="K119" s="19" t="s">
        <v>194</v>
      </c>
      <c r="L119" s="4" t="s">
        <v>53</v>
      </c>
      <c r="M119" s="10" t="s">
        <v>95</v>
      </c>
      <c r="N119" s="10" t="s">
        <v>136</v>
      </c>
      <c r="O119" s="4" t="s">
        <v>137</v>
      </c>
      <c r="P119" s="11" t="s">
        <v>35</v>
      </c>
      <c r="R119" s="22">
        <v>2619</v>
      </c>
      <c r="U119" s="4" t="s">
        <v>38</v>
      </c>
      <c r="V119" s="4" t="s">
        <v>38</v>
      </c>
      <c r="W119" s="4" t="s">
        <v>38</v>
      </c>
    </row>
    <row r="120" spans="1:26" ht="39.6" hidden="1">
      <c r="A120" s="23" t="s">
        <v>501</v>
      </c>
      <c r="B120" s="5" t="s">
        <v>502</v>
      </c>
      <c r="C120" s="11" t="str">
        <f t="shared" si="3"/>
        <v>UNA - Unisalud - Cloud</v>
      </c>
      <c r="D120" s="4" t="s">
        <v>191</v>
      </c>
      <c r="E120" s="5" t="s">
        <v>68</v>
      </c>
      <c r="F120" s="4" t="s">
        <v>192</v>
      </c>
      <c r="G120" s="4" t="s">
        <v>70</v>
      </c>
      <c r="H120" s="11" t="str">
        <f>_xlfn.IFNA(VLOOKUP(F120,clientes!A:B,2,FALSE()),"--")</f>
        <v>Universidad Nacional de Colombia</v>
      </c>
      <c r="I120" s="5" t="s">
        <v>33</v>
      </c>
      <c r="J120" s="27" t="s">
        <v>193</v>
      </c>
      <c r="K120" s="19" t="s">
        <v>194</v>
      </c>
      <c r="L120" s="4" t="s">
        <v>53</v>
      </c>
      <c r="M120" s="14" t="s">
        <v>95</v>
      </c>
      <c r="N120" s="14" t="s">
        <v>136</v>
      </c>
      <c r="O120" s="4" t="s">
        <v>137</v>
      </c>
      <c r="P120" s="11" t="s">
        <v>35</v>
      </c>
      <c r="Q120" s="11" t="s">
        <v>36</v>
      </c>
      <c r="R120" s="23" t="s">
        <v>503</v>
      </c>
      <c r="S120" s="10" t="s">
        <v>37</v>
      </c>
      <c r="U120" s="4" t="s">
        <v>38</v>
      </c>
      <c r="V120" s="4" t="s">
        <v>38</v>
      </c>
      <c r="W120" s="4" t="s">
        <v>38</v>
      </c>
    </row>
    <row r="121" spans="1:26" ht="52.9" hidden="1">
      <c r="A121" s="23" t="s">
        <v>504</v>
      </c>
      <c r="B121" s="58" t="s">
        <v>505</v>
      </c>
      <c r="C121" s="11" t="str">
        <f t="shared" si="3"/>
        <v>CJU - Vigilancia y MET Plus - Fixed</v>
      </c>
      <c r="D121" s="5" t="s">
        <v>506</v>
      </c>
      <c r="E121" s="5" t="s">
        <v>80</v>
      </c>
      <c r="F121" s="5" t="s">
        <v>198</v>
      </c>
      <c r="G121" s="5" t="s">
        <v>81</v>
      </c>
      <c r="H121" s="11" t="str">
        <f>_xlfn.IFNA(VLOOKUP(F121,clientes!A:B,2,FALSE()),"--")</f>
        <v>Coljuegos</v>
      </c>
      <c r="I121" s="5" t="s">
        <v>33</v>
      </c>
      <c r="J121" s="18" t="s">
        <v>199</v>
      </c>
      <c r="K121" s="18" t="s">
        <v>507</v>
      </c>
      <c r="L121" s="10" t="s">
        <v>134</v>
      </c>
      <c r="M121" s="10" t="s">
        <v>74</v>
      </c>
      <c r="N121" s="10" t="s">
        <v>201</v>
      </c>
      <c r="O121" s="10" t="s">
        <v>202</v>
      </c>
      <c r="P121" s="11" t="s">
        <v>35</v>
      </c>
      <c r="Q121" s="11" t="s">
        <v>508</v>
      </c>
      <c r="R121" s="23" t="s">
        <v>509</v>
      </c>
      <c r="S121" s="10" t="s">
        <v>202</v>
      </c>
      <c r="U121" s="4" t="s">
        <v>38</v>
      </c>
      <c r="V121" s="4" t="s">
        <v>510</v>
      </c>
      <c r="W121" s="4" t="s">
        <v>511</v>
      </c>
    </row>
    <row r="122" spans="1:26" customFormat="1" ht="52.9" hidden="1">
      <c r="A122" s="23" t="s">
        <v>512</v>
      </c>
      <c r="B122" s="58" t="s">
        <v>505</v>
      </c>
      <c r="C122" s="11" t="str">
        <f t="shared" si="3"/>
        <v>CJU - Vigilancia y MET Plus - Cloud</v>
      </c>
      <c r="D122" s="5" t="s">
        <v>506</v>
      </c>
      <c r="E122" s="5" t="s">
        <v>68</v>
      </c>
      <c r="F122" s="5" t="s">
        <v>198</v>
      </c>
      <c r="G122" s="4" t="s">
        <v>70</v>
      </c>
      <c r="H122" s="11" t="str">
        <f>_xlfn.IFNA(VLOOKUP(F122,clientes!A:B,2,FALSE()),"--")</f>
        <v>Coljuegos</v>
      </c>
      <c r="I122" s="5" t="s">
        <v>33</v>
      </c>
      <c r="J122" s="18" t="s">
        <v>199</v>
      </c>
      <c r="K122" s="18" t="s">
        <v>507</v>
      </c>
      <c r="L122" s="10" t="s">
        <v>134</v>
      </c>
      <c r="M122" s="10" t="s">
        <v>74</v>
      </c>
      <c r="N122" s="10" t="s">
        <v>201</v>
      </c>
      <c r="O122" s="4" t="s">
        <v>513</v>
      </c>
      <c r="P122" s="11" t="s">
        <v>35</v>
      </c>
      <c r="Q122" s="11" t="s">
        <v>508</v>
      </c>
      <c r="R122" s="23" t="s">
        <v>509</v>
      </c>
      <c r="S122" s="10" t="s">
        <v>37</v>
      </c>
      <c r="T122" s="4"/>
      <c r="U122" s="4" t="s">
        <v>38</v>
      </c>
      <c r="V122" s="4" t="s">
        <v>510</v>
      </c>
      <c r="W122" s="4" t="s">
        <v>511</v>
      </c>
      <c r="X122" s="4"/>
      <c r="Y122" s="4"/>
      <c r="Z122" s="4"/>
    </row>
    <row r="123" spans="1:26" customFormat="1" ht="13.15" hidden="1">
      <c r="A123" s="23" t="s">
        <v>514</v>
      </c>
      <c r="B123" s="5" t="s">
        <v>515</v>
      </c>
      <c r="C123" s="11" t="str">
        <f>F123&amp;" - "&amp;D123&amp;" "</f>
        <v xml:space="preserve">BLD - Product Houndoc Latam </v>
      </c>
      <c r="D123" s="5" t="s">
        <v>516</v>
      </c>
      <c r="E123" s="5" t="s">
        <v>30</v>
      </c>
      <c r="F123" s="42" t="s">
        <v>31</v>
      </c>
      <c r="G123" s="5" t="s">
        <v>32</v>
      </c>
      <c r="H123" s="11" t="str">
        <f>_xlfn.IFNA(VLOOKUP(F123,clientes!A:B,2,FALSE()),"--")</f>
        <v>Blend360</v>
      </c>
      <c r="I123" s="5" t="s">
        <v>33</v>
      </c>
      <c r="J123" s="11" t="s">
        <v>34</v>
      </c>
      <c r="K123" s="5" t="s">
        <v>34</v>
      </c>
      <c r="L123" s="4" t="s">
        <v>34</v>
      </c>
      <c r="M123" s="4" t="s">
        <v>34</v>
      </c>
      <c r="N123" s="4" t="s">
        <v>34</v>
      </c>
      <c r="O123" s="4" t="s">
        <v>34</v>
      </c>
      <c r="P123" s="11" t="s">
        <v>35</v>
      </c>
      <c r="Q123" s="11" t="s">
        <v>36</v>
      </c>
      <c r="R123" s="22">
        <v>5045</v>
      </c>
      <c r="S123" s="10" t="s">
        <v>37</v>
      </c>
      <c r="U123" s="4" t="s">
        <v>38</v>
      </c>
      <c r="V123" s="4" t="s">
        <v>38</v>
      </c>
      <c r="W123" s="4" t="s">
        <v>38</v>
      </c>
      <c r="X123" s="4"/>
      <c r="Y123" s="4"/>
      <c r="Z123" s="4"/>
    </row>
    <row r="124" spans="1:26" customFormat="1" ht="13.15" hidden="1">
      <c r="A124" s="23" t="s">
        <v>514</v>
      </c>
      <c r="B124" s="5" t="s">
        <v>517</v>
      </c>
      <c r="C124" s="11" t="str">
        <f t="shared" ref="C124:C151" si="4">F124&amp;" - "&amp;D124&amp;" - "&amp;E124</f>
        <v>BLD - Producto - Houndoc - Internal</v>
      </c>
      <c r="D124" s="5" t="s">
        <v>518</v>
      </c>
      <c r="E124" s="5" t="s">
        <v>30</v>
      </c>
      <c r="F124" s="5" t="s">
        <v>31</v>
      </c>
      <c r="G124" s="5" t="s">
        <v>32</v>
      </c>
      <c r="H124" s="11" t="str">
        <f>_xlfn.IFNA(VLOOKUP(F124,clientes!A:B,2,FALSE()),"--")</f>
        <v>Blend360</v>
      </c>
      <c r="I124" s="5" t="s">
        <v>33</v>
      </c>
      <c r="J124" s="11" t="s">
        <v>34</v>
      </c>
      <c r="K124" s="5" t="s">
        <v>34</v>
      </c>
      <c r="L124" s="10" t="s">
        <v>519</v>
      </c>
      <c r="M124" s="10" t="s">
        <v>519</v>
      </c>
      <c r="N124" s="4" t="s">
        <v>34</v>
      </c>
      <c r="O124" s="4" t="s">
        <v>34</v>
      </c>
      <c r="P124" s="11" t="s">
        <v>35</v>
      </c>
      <c r="Q124" s="11" t="s">
        <v>36</v>
      </c>
      <c r="R124" s="22">
        <v>5053</v>
      </c>
      <c r="S124" s="10" t="s">
        <v>37</v>
      </c>
      <c r="U124" s="4" t="s">
        <v>38</v>
      </c>
      <c r="V124" s="4" t="s">
        <v>38</v>
      </c>
      <c r="W124" s="4" t="s">
        <v>38</v>
      </c>
      <c r="X124" s="4"/>
      <c r="Y124" s="4"/>
      <c r="Z124" s="4"/>
    </row>
    <row r="125" spans="1:26" customFormat="1" ht="52.9" hidden="1">
      <c r="A125" s="23" t="s">
        <v>520</v>
      </c>
      <c r="B125" s="58" t="s">
        <v>505</v>
      </c>
      <c r="C125" s="11" t="str">
        <f t="shared" si="4"/>
        <v>CJU - Vigilancia y MET Plus - Ret</v>
      </c>
      <c r="D125" s="5" t="s">
        <v>506</v>
      </c>
      <c r="E125" s="5" t="s">
        <v>60</v>
      </c>
      <c r="F125" s="5" t="s">
        <v>198</v>
      </c>
      <c r="G125" s="5" t="s">
        <v>61</v>
      </c>
      <c r="H125" s="11" t="str">
        <f>_xlfn.IFNA(VLOOKUP(F125,clientes!A:B,2,FALSE()),"--")</f>
        <v>Coljuegos</v>
      </c>
      <c r="I125" s="5" t="s">
        <v>33</v>
      </c>
      <c r="J125" s="18" t="s">
        <v>199</v>
      </c>
      <c r="K125" s="18" t="s">
        <v>507</v>
      </c>
      <c r="L125" s="10" t="s">
        <v>134</v>
      </c>
      <c r="M125" s="10" t="s">
        <v>74</v>
      </c>
      <c r="N125" s="10" t="s">
        <v>201</v>
      </c>
      <c r="O125" s="10" t="s">
        <v>202</v>
      </c>
      <c r="P125" s="11" t="s">
        <v>35</v>
      </c>
      <c r="Q125" s="11" t="s">
        <v>508</v>
      </c>
      <c r="R125" s="23" t="s">
        <v>509</v>
      </c>
      <c r="S125" s="10" t="s">
        <v>202</v>
      </c>
      <c r="T125" s="4"/>
      <c r="U125" s="4" t="s">
        <v>38</v>
      </c>
      <c r="V125" s="4" t="s">
        <v>510</v>
      </c>
      <c r="W125" s="4" t="s">
        <v>511</v>
      </c>
      <c r="X125" s="4"/>
      <c r="Y125" s="4"/>
      <c r="Z125" s="4"/>
    </row>
    <row r="126" spans="1:26" customFormat="1" ht="52.9" hidden="1">
      <c r="A126" s="23" t="s">
        <v>521</v>
      </c>
      <c r="B126" s="58" t="s">
        <v>505</v>
      </c>
      <c r="C126" s="11" t="str">
        <f t="shared" si="4"/>
        <v>CJU - Vigilancia y MET Plus - Ret SW</v>
      </c>
      <c r="D126" s="5" t="s">
        <v>506</v>
      </c>
      <c r="E126" s="5" t="s">
        <v>48</v>
      </c>
      <c r="F126" s="5" t="s">
        <v>198</v>
      </c>
      <c r="G126" s="5" t="s">
        <v>50</v>
      </c>
      <c r="H126" s="11" t="str">
        <f>_xlfn.IFNA(VLOOKUP(F126,clientes!A:B,2,FALSE()),"--")</f>
        <v>Coljuegos</v>
      </c>
      <c r="I126" s="5" t="s">
        <v>33</v>
      </c>
      <c r="J126" s="18" t="s">
        <v>199</v>
      </c>
      <c r="K126" s="18" t="s">
        <v>507</v>
      </c>
      <c r="L126" s="10" t="s">
        <v>134</v>
      </c>
      <c r="M126" s="10" t="s">
        <v>74</v>
      </c>
      <c r="N126" s="10" t="s">
        <v>201</v>
      </c>
      <c r="O126" s="4" t="s">
        <v>202</v>
      </c>
      <c r="P126" s="11" t="s">
        <v>35</v>
      </c>
      <c r="Q126" s="11" t="s">
        <v>508</v>
      </c>
      <c r="R126" s="23" t="s">
        <v>509</v>
      </c>
      <c r="S126" s="10" t="s">
        <v>37</v>
      </c>
      <c r="T126" s="4"/>
      <c r="U126" s="4" t="s">
        <v>38</v>
      </c>
      <c r="V126" s="4" t="s">
        <v>510</v>
      </c>
      <c r="W126" s="4" t="s">
        <v>511</v>
      </c>
      <c r="X126" s="4"/>
      <c r="Y126" s="4"/>
      <c r="Z126" s="4"/>
    </row>
    <row r="127" spans="1:26" customFormat="1" ht="39.6" hidden="1">
      <c r="A127" s="23" t="s">
        <v>522</v>
      </c>
      <c r="B127" s="58" t="s">
        <v>523</v>
      </c>
      <c r="C127" s="11" t="str">
        <f t="shared" si="4"/>
        <v>UNA - Contrato 4 - Servicio Computacion - Cloud</v>
      </c>
      <c r="D127" s="4" t="s">
        <v>524</v>
      </c>
      <c r="E127" s="5" t="s">
        <v>68</v>
      </c>
      <c r="F127" s="4" t="s">
        <v>192</v>
      </c>
      <c r="G127" s="4" t="s">
        <v>70</v>
      </c>
      <c r="H127" s="11" t="str">
        <f>_xlfn.IFNA(VLOOKUP(F127,clientes!A:B,2,FALSE()),"--")</f>
        <v>Universidad Nacional de Colombia</v>
      </c>
      <c r="I127" s="5" t="s">
        <v>33</v>
      </c>
      <c r="J127" s="27" t="s">
        <v>193</v>
      </c>
      <c r="K127" s="19" t="s">
        <v>194</v>
      </c>
      <c r="L127" s="4" t="s">
        <v>53</v>
      </c>
      <c r="M127" s="14" t="s">
        <v>95</v>
      </c>
      <c r="N127" s="14" t="s">
        <v>136</v>
      </c>
      <c r="O127" s="4" t="s">
        <v>137</v>
      </c>
      <c r="P127" s="11" t="s">
        <v>35</v>
      </c>
      <c r="Q127" s="11" t="s">
        <v>391</v>
      </c>
      <c r="R127" s="23" t="s">
        <v>525</v>
      </c>
      <c r="S127" s="10" t="s">
        <v>37</v>
      </c>
      <c r="T127" s="4"/>
      <c r="U127" s="4" t="s">
        <v>38</v>
      </c>
      <c r="V127" s="4" t="s">
        <v>38</v>
      </c>
      <c r="W127" s="4" t="s">
        <v>38</v>
      </c>
      <c r="X127" s="4"/>
      <c r="Y127" s="4"/>
      <c r="Z127" s="4"/>
    </row>
    <row r="128" spans="1:26" customFormat="1" ht="39.6" hidden="1">
      <c r="A128" s="23" t="s">
        <v>526</v>
      </c>
      <c r="B128" s="58" t="s">
        <v>523</v>
      </c>
      <c r="C128" s="11" t="str">
        <f t="shared" si="4"/>
        <v>UNA - Contrato 4 - Servicio Computacion - Ret</v>
      </c>
      <c r="D128" s="4" t="s">
        <v>524</v>
      </c>
      <c r="E128" s="5" t="s">
        <v>60</v>
      </c>
      <c r="F128" s="5" t="s">
        <v>192</v>
      </c>
      <c r="G128" s="5" t="s">
        <v>61</v>
      </c>
      <c r="H128" s="11" t="str">
        <f>_xlfn.IFNA(VLOOKUP(F128,clientes!A:B,2,FALSE()),"--")</f>
        <v>Universidad Nacional de Colombia</v>
      </c>
      <c r="I128" s="5" t="s">
        <v>33</v>
      </c>
      <c r="J128" s="27" t="s">
        <v>193</v>
      </c>
      <c r="K128" s="19" t="s">
        <v>194</v>
      </c>
      <c r="L128" s="4" t="s">
        <v>53</v>
      </c>
      <c r="M128" s="14" t="s">
        <v>95</v>
      </c>
      <c r="N128" s="14" t="s">
        <v>136</v>
      </c>
      <c r="O128" s="4" t="s">
        <v>137</v>
      </c>
      <c r="P128" s="11" t="s">
        <v>35</v>
      </c>
      <c r="Q128" s="11" t="s">
        <v>391</v>
      </c>
      <c r="R128" s="23" t="s">
        <v>525</v>
      </c>
      <c r="S128" s="4" t="s">
        <v>138</v>
      </c>
      <c r="U128" s="4" t="s">
        <v>38</v>
      </c>
      <c r="V128" s="4" t="s">
        <v>38</v>
      </c>
      <c r="W128" s="4" t="s">
        <v>38</v>
      </c>
      <c r="X128" s="4"/>
      <c r="Y128" s="4"/>
      <c r="Z128" s="4"/>
    </row>
    <row r="129" spans="1:26" customFormat="1" ht="39.6" hidden="1">
      <c r="A129" s="23" t="s">
        <v>527</v>
      </c>
      <c r="B129" s="4" t="s">
        <v>528</v>
      </c>
      <c r="C129" s="11" t="str">
        <f t="shared" si="4"/>
        <v>UNA - Ofc Gestion Ambiental - Cloud</v>
      </c>
      <c r="D129" s="4" t="s">
        <v>529</v>
      </c>
      <c r="E129" s="5" t="s">
        <v>68</v>
      </c>
      <c r="F129" s="4" t="s">
        <v>192</v>
      </c>
      <c r="G129" s="4" t="s">
        <v>70</v>
      </c>
      <c r="H129" s="11" t="str">
        <f>_xlfn.IFNA(VLOOKUP(F129,clientes!A:B,2,FALSE()),"--")</f>
        <v>Universidad Nacional de Colombia</v>
      </c>
      <c r="I129" s="5" t="s">
        <v>33</v>
      </c>
      <c r="J129" s="27" t="s">
        <v>193</v>
      </c>
      <c r="K129" s="19" t="s">
        <v>194</v>
      </c>
      <c r="L129" s="4" t="s">
        <v>53</v>
      </c>
      <c r="M129" s="14" t="s">
        <v>95</v>
      </c>
      <c r="N129" s="14" t="s">
        <v>136</v>
      </c>
      <c r="O129" s="4" t="s">
        <v>137</v>
      </c>
      <c r="P129" s="11" t="s">
        <v>35</v>
      </c>
      <c r="Q129" s="11" t="s">
        <v>36</v>
      </c>
      <c r="R129" s="23" t="s">
        <v>530</v>
      </c>
      <c r="S129" s="10" t="s">
        <v>37</v>
      </c>
      <c r="T129" s="4"/>
      <c r="U129" s="4" t="s">
        <v>38</v>
      </c>
      <c r="V129" s="4" t="s">
        <v>38</v>
      </c>
      <c r="W129" s="4" t="s">
        <v>38</v>
      </c>
      <c r="X129" s="4"/>
      <c r="Y129" s="4"/>
      <c r="Z129" s="4"/>
    </row>
    <row r="130" spans="1:26" customFormat="1" ht="39.6" hidden="1">
      <c r="A130" s="23" t="s">
        <v>531</v>
      </c>
      <c r="B130" s="4" t="s">
        <v>528</v>
      </c>
      <c r="C130" s="11" t="str">
        <f t="shared" si="4"/>
        <v>UNA - Ofc Gestion Ambiental - Fixed</v>
      </c>
      <c r="D130" s="4" t="s">
        <v>529</v>
      </c>
      <c r="E130" s="5" t="s">
        <v>80</v>
      </c>
      <c r="F130" s="4" t="s">
        <v>192</v>
      </c>
      <c r="G130" s="5" t="s">
        <v>81</v>
      </c>
      <c r="H130" s="11" t="str">
        <f>_xlfn.IFNA(VLOOKUP(F130,clientes!A:B,2,FALSE()),"--")</f>
        <v>Universidad Nacional de Colombia</v>
      </c>
      <c r="I130" s="5" t="s">
        <v>33</v>
      </c>
      <c r="J130" s="27" t="s">
        <v>193</v>
      </c>
      <c r="K130" s="19" t="s">
        <v>194</v>
      </c>
      <c r="L130" s="4" t="s">
        <v>53</v>
      </c>
      <c r="M130" s="14" t="s">
        <v>95</v>
      </c>
      <c r="N130" s="14" t="s">
        <v>136</v>
      </c>
      <c r="O130" s="4" t="s">
        <v>137</v>
      </c>
      <c r="P130" s="11" t="s">
        <v>35</v>
      </c>
      <c r="Q130" s="11" t="s">
        <v>36</v>
      </c>
      <c r="R130" s="23" t="s">
        <v>530</v>
      </c>
      <c r="S130" s="4" t="s">
        <v>138</v>
      </c>
      <c r="T130" s="4"/>
      <c r="U130" s="4" t="s">
        <v>38</v>
      </c>
      <c r="V130" s="4" t="s">
        <v>38</v>
      </c>
      <c r="W130" s="4" t="s">
        <v>38</v>
      </c>
      <c r="X130" s="4"/>
      <c r="Y130" s="4"/>
      <c r="Z130" s="4"/>
    </row>
    <row r="131" spans="1:26" customFormat="1" ht="39.6" hidden="1">
      <c r="A131" s="23" t="s">
        <v>532</v>
      </c>
      <c r="B131" s="58" t="s">
        <v>533</v>
      </c>
      <c r="C131" s="11" t="str">
        <f t="shared" si="4"/>
        <v>CSJ - Continuidad Operación AWS - Cloud</v>
      </c>
      <c r="D131" s="4" t="s">
        <v>534</v>
      </c>
      <c r="E131" s="5" t="s">
        <v>68</v>
      </c>
      <c r="F131" s="5" t="s">
        <v>184</v>
      </c>
      <c r="G131" s="4" t="s">
        <v>70</v>
      </c>
      <c r="H131" s="11" t="str">
        <f>_xlfn.IFNA(VLOOKUP(F131,clientes!A:B,2,FALSE()),"--")</f>
        <v>Consejo Superior de la Judicatura</v>
      </c>
      <c r="I131" s="5" t="s">
        <v>33</v>
      </c>
      <c r="J131" s="6" t="s">
        <v>185</v>
      </c>
      <c r="K131" s="7"/>
      <c r="L131" s="10" t="s">
        <v>124</v>
      </c>
      <c r="M131" s="14" t="s">
        <v>135</v>
      </c>
      <c r="N131" s="14" t="s">
        <v>136</v>
      </c>
      <c r="O131" s="4" t="s">
        <v>137</v>
      </c>
      <c r="P131" s="11" t="s">
        <v>35</v>
      </c>
      <c r="Q131" s="4"/>
      <c r="R131" s="22">
        <v>58571</v>
      </c>
      <c r="S131" s="10" t="s">
        <v>37</v>
      </c>
      <c r="T131" t="s">
        <v>20</v>
      </c>
      <c r="U131" s="48" t="s">
        <v>535</v>
      </c>
      <c r="V131" s="43" t="s">
        <v>536</v>
      </c>
      <c r="W131" s="71" t="s">
        <v>537</v>
      </c>
      <c r="X131" s="4"/>
      <c r="Y131" s="72" t="s">
        <v>538</v>
      </c>
      <c r="Z131" s="71" t="s">
        <v>539</v>
      </c>
    </row>
    <row r="132" spans="1:26" customFormat="1" ht="39.6" hidden="1">
      <c r="A132" s="23" t="s">
        <v>540</v>
      </c>
      <c r="B132" s="58" t="s">
        <v>533</v>
      </c>
      <c r="C132" s="11" t="str">
        <f t="shared" si="4"/>
        <v>CSJ - Continuidad Operación AWS - Ret</v>
      </c>
      <c r="D132" s="4" t="s">
        <v>534</v>
      </c>
      <c r="E132" s="5" t="s">
        <v>60</v>
      </c>
      <c r="F132" s="5" t="s">
        <v>184</v>
      </c>
      <c r="G132" s="5" t="s">
        <v>61</v>
      </c>
      <c r="H132" s="11" t="str">
        <f>_xlfn.IFNA(VLOOKUP(F132,clientes!A:B,2,FALSE()),"--")</f>
        <v>Consejo Superior de la Judicatura</v>
      </c>
      <c r="I132" s="5" t="s">
        <v>33</v>
      </c>
      <c r="J132" s="6" t="s">
        <v>185</v>
      </c>
      <c r="K132" s="7"/>
      <c r="L132" s="10" t="s">
        <v>124</v>
      </c>
      <c r="M132" s="14" t="s">
        <v>135</v>
      </c>
      <c r="N132" s="10" t="s">
        <v>136</v>
      </c>
      <c r="O132" s="4" t="s">
        <v>137</v>
      </c>
      <c r="P132" s="11" t="s">
        <v>35</v>
      </c>
      <c r="Q132" s="4"/>
      <c r="R132" s="22">
        <v>58572</v>
      </c>
      <c r="S132" s="4" t="s">
        <v>138</v>
      </c>
      <c r="T132" t="s">
        <v>20</v>
      </c>
      <c r="U132" s="48" t="s">
        <v>535</v>
      </c>
      <c r="V132" s="43" t="s">
        <v>536</v>
      </c>
      <c r="W132" s="71" t="s">
        <v>539</v>
      </c>
      <c r="X132" s="4"/>
      <c r="Y132" s="72" t="s">
        <v>538</v>
      </c>
      <c r="Z132" s="71" t="s">
        <v>539</v>
      </c>
    </row>
    <row r="133" spans="1:26" customFormat="1" ht="39.6" hidden="1">
      <c r="A133" s="23" t="s">
        <v>541</v>
      </c>
      <c r="B133" s="58" t="s">
        <v>533</v>
      </c>
      <c r="C133" s="11" t="str">
        <f t="shared" si="4"/>
        <v>CSJ - Continuidad Operación AWS - Ret Other Vendors</v>
      </c>
      <c r="D133" s="4" t="s">
        <v>534</v>
      </c>
      <c r="E133" s="5" t="s">
        <v>347</v>
      </c>
      <c r="F133" s="5" t="s">
        <v>184</v>
      </c>
      <c r="G133" s="5" t="s">
        <v>61</v>
      </c>
      <c r="H133" s="11" t="str">
        <f>_xlfn.IFNA(VLOOKUP(F133,clientes!A:B,2,FALSE()),"--")</f>
        <v>Consejo Superior de la Judicatura</v>
      </c>
      <c r="I133" s="5" t="s">
        <v>33</v>
      </c>
      <c r="J133" s="6" t="s">
        <v>185</v>
      </c>
      <c r="K133" s="7"/>
      <c r="L133" s="10" t="s">
        <v>124</v>
      </c>
      <c r="M133" s="14" t="s">
        <v>135</v>
      </c>
      <c r="N133" s="10" t="s">
        <v>136</v>
      </c>
      <c r="O133" s="4" t="s">
        <v>137</v>
      </c>
      <c r="P133" s="11" t="s">
        <v>35</v>
      </c>
      <c r="Q133" s="4"/>
      <c r="R133" s="22">
        <v>58572</v>
      </c>
      <c r="S133" s="4" t="s">
        <v>138</v>
      </c>
      <c r="T133" t="s">
        <v>20</v>
      </c>
      <c r="U133" s="48" t="s">
        <v>535</v>
      </c>
      <c r="V133" s="43" t="s">
        <v>536</v>
      </c>
      <c r="W133" s="71" t="s">
        <v>539</v>
      </c>
      <c r="X133" s="4"/>
      <c r="Y133" s="72" t="s">
        <v>538</v>
      </c>
      <c r="Z133" s="71" t="s">
        <v>539</v>
      </c>
    </row>
    <row r="134" spans="1:26" customFormat="1" ht="26.45" hidden="1">
      <c r="A134" s="22" t="s">
        <v>542</v>
      </c>
      <c r="B134" s="5" t="s">
        <v>543</v>
      </c>
      <c r="C134" s="11" t="str">
        <f t="shared" si="4"/>
        <v>SAN - Soporte y Mantenimiento Quipu 2025 - Ret</v>
      </c>
      <c r="D134" s="5" t="s">
        <v>544</v>
      </c>
      <c r="E134" s="5" t="s">
        <v>60</v>
      </c>
      <c r="F134" s="5" t="s">
        <v>295</v>
      </c>
      <c r="G134" s="5" t="s">
        <v>61</v>
      </c>
      <c r="H134" s="11" t="str">
        <f>_xlfn.IFNA(VLOOKUP(F134,clientes!A:B,2,FALSE()),"--")</f>
        <v>Sanidad</v>
      </c>
      <c r="I134" s="5" t="s">
        <v>33</v>
      </c>
      <c r="J134" s="6" t="s">
        <v>296</v>
      </c>
      <c r="K134" s="27" t="s">
        <v>545</v>
      </c>
      <c r="L134" s="10" t="s">
        <v>156</v>
      </c>
      <c r="M134" s="10" t="s">
        <v>145</v>
      </c>
      <c r="N134" s="10" t="s">
        <v>75</v>
      </c>
      <c r="O134" s="4" t="s">
        <v>334</v>
      </c>
      <c r="P134" s="11" t="s">
        <v>35</v>
      </c>
      <c r="Q134" s="11" t="s">
        <v>299</v>
      </c>
      <c r="R134" s="22">
        <v>58882</v>
      </c>
      <c r="S134" s="10" t="s">
        <v>64</v>
      </c>
      <c r="U134" s="4" t="s">
        <v>546</v>
      </c>
      <c r="V134" s="4" t="s">
        <v>38</v>
      </c>
      <c r="W134" s="4" t="s">
        <v>38</v>
      </c>
      <c r="X134" s="4"/>
      <c r="Y134" s="4"/>
      <c r="Z134" s="4"/>
    </row>
    <row r="135" spans="1:26" customFormat="1" ht="26.45" hidden="1">
      <c r="A135" s="22" t="s">
        <v>547</v>
      </c>
      <c r="B135" s="5" t="s">
        <v>543</v>
      </c>
      <c r="C135" s="11" t="str">
        <f t="shared" si="4"/>
        <v>SAN - Soporte y Mantenimiento Quipu 2025 - Fixed</v>
      </c>
      <c r="D135" s="5" t="s">
        <v>544</v>
      </c>
      <c r="E135" s="5" t="s">
        <v>80</v>
      </c>
      <c r="F135" s="5" t="s">
        <v>295</v>
      </c>
      <c r="G135" s="5" t="s">
        <v>81</v>
      </c>
      <c r="H135" s="11" t="str">
        <f>_xlfn.IFNA(VLOOKUP(F135,clientes!A:B,2,FALSE()),"--")</f>
        <v>Sanidad</v>
      </c>
      <c r="I135" s="5" t="s">
        <v>71</v>
      </c>
      <c r="J135" s="6" t="s">
        <v>296</v>
      </c>
      <c r="K135" s="4" t="s">
        <v>297</v>
      </c>
      <c r="L135" s="10" t="s">
        <v>134</v>
      </c>
      <c r="M135" s="10" t="s">
        <v>145</v>
      </c>
      <c r="N135" s="10" t="s">
        <v>55</v>
      </c>
      <c r="O135" s="4" t="s">
        <v>334</v>
      </c>
      <c r="P135" s="11" t="s">
        <v>35</v>
      </c>
      <c r="Q135" s="11" t="s">
        <v>299</v>
      </c>
      <c r="R135" s="22">
        <v>58883</v>
      </c>
      <c r="S135" s="10" t="s">
        <v>64</v>
      </c>
      <c r="U135" s="4" t="s">
        <v>546</v>
      </c>
      <c r="V135" s="4" t="s">
        <v>38</v>
      </c>
      <c r="W135" s="4" t="s">
        <v>38</v>
      </c>
      <c r="X135" s="4"/>
      <c r="Y135" s="4"/>
      <c r="Z135" s="4"/>
    </row>
    <row r="136" spans="1:26" customFormat="1" ht="66" hidden="1">
      <c r="A136" s="22" t="s">
        <v>548</v>
      </c>
      <c r="B136" s="5" t="s">
        <v>549</v>
      </c>
      <c r="C136" s="11" t="str">
        <f t="shared" si="4"/>
        <v>CAT - Agente Cognitivo e Infraestructura AWS - Cloud</v>
      </c>
      <c r="D136" s="4" t="s">
        <v>550</v>
      </c>
      <c r="E136" s="5" t="s">
        <v>68</v>
      </c>
      <c r="F136" s="4" t="s">
        <v>168</v>
      </c>
      <c r="G136" s="4" t="s">
        <v>70</v>
      </c>
      <c r="H136" s="11" t="str">
        <f>_xlfn.IFNA(VLOOKUP(F136,clientes!A:B,2,FALSE()),"--")</f>
        <v>Unidad Administrativa Especial de Catastro Distrital</v>
      </c>
      <c r="I136" s="5" t="s">
        <v>33</v>
      </c>
      <c r="J136" s="6" t="s">
        <v>169</v>
      </c>
      <c r="K136" s="19" t="s">
        <v>551</v>
      </c>
      <c r="L136" s="4" t="s">
        <v>53</v>
      </c>
      <c r="M136" s="14" t="s">
        <v>95</v>
      </c>
      <c r="N136" s="10" t="s">
        <v>75</v>
      </c>
      <c r="O136" s="4" t="s">
        <v>171</v>
      </c>
      <c r="P136" s="11" t="s">
        <v>35</v>
      </c>
      <c r="Q136" s="4"/>
      <c r="R136" s="22">
        <v>9999</v>
      </c>
      <c r="S136" s="4" t="s">
        <v>37</v>
      </c>
      <c r="U136" s="4" t="s">
        <v>38</v>
      </c>
      <c r="V136" s="4" t="s">
        <v>38</v>
      </c>
      <c r="W136" s="4" t="s">
        <v>38</v>
      </c>
      <c r="X136" s="4"/>
      <c r="Y136" s="4"/>
      <c r="Z136" s="4"/>
    </row>
    <row r="137" spans="1:26" customFormat="1" ht="66" hidden="1">
      <c r="A137" s="22" t="s">
        <v>552</v>
      </c>
      <c r="B137" s="5" t="s">
        <v>549</v>
      </c>
      <c r="C137" s="11" t="str">
        <f t="shared" si="4"/>
        <v>CAT - Agente Cognitivo e Infraestructura AWS - Ret</v>
      </c>
      <c r="D137" s="4" t="s">
        <v>550</v>
      </c>
      <c r="E137" s="4" t="s">
        <v>60</v>
      </c>
      <c r="F137" s="4" t="s">
        <v>168</v>
      </c>
      <c r="G137" s="5" t="s">
        <v>61</v>
      </c>
      <c r="H137" s="11" t="str">
        <f>_xlfn.IFNA(VLOOKUP(F137,clientes!A:B,2,FALSE()),"--")</f>
        <v>Unidad Administrativa Especial de Catastro Distrital</v>
      </c>
      <c r="I137" s="5" t="s">
        <v>33</v>
      </c>
      <c r="J137" s="6" t="s">
        <v>169</v>
      </c>
      <c r="K137" s="19" t="s">
        <v>551</v>
      </c>
      <c r="L137" s="4" t="s">
        <v>53</v>
      </c>
      <c r="M137" s="14" t="s">
        <v>95</v>
      </c>
      <c r="N137" s="10" t="s">
        <v>75</v>
      </c>
      <c r="O137" s="4" t="s">
        <v>171</v>
      </c>
      <c r="P137" s="11" t="s">
        <v>35</v>
      </c>
      <c r="Q137" s="4"/>
      <c r="R137" s="22">
        <v>9999</v>
      </c>
      <c r="S137" s="4" t="s">
        <v>171</v>
      </c>
      <c r="U137" s="4" t="s">
        <v>38</v>
      </c>
      <c r="V137" s="4" t="s">
        <v>38</v>
      </c>
      <c r="W137" s="4" t="s">
        <v>38</v>
      </c>
      <c r="X137" s="4"/>
      <c r="Y137" s="4"/>
      <c r="Z137" s="4"/>
    </row>
    <row r="138" spans="1:26" customFormat="1" ht="66" hidden="1">
      <c r="A138" s="22" t="s">
        <v>553</v>
      </c>
      <c r="B138" s="5" t="s">
        <v>549</v>
      </c>
      <c r="C138" s="11" t="str">
        <f t="shared" si="4"/>
        <v>CAT - Agente Cognitivo e Infraestructura AWS - Ret SW</v>
      </c>
      <c r="D138" s="4" t="s">
        <v>550</v>
      </c>
      <c r="E138" s="4" t="s">
        <v>48</v>
      </c>
      <c r="F138" s="4" t="s">
        <v>168</v>
      </c>
      <c r="G138" s="5" t="s">
        <v>50</v>
      </c>
      <c r="H138" s="11" t="str">
        <f>_xlfn.IFNA(VLOOKUP(F138,clientes!A:B,2,FALSE()),"--")</f>
        <v>Unidad Administrativa Especial de Catastro Distrital</v>
      </c>
      <c r="I138" s="5" t="s">
        <v>33</v>
      </c>
      <c r="J138" s="6" t="s">
        <v>169</v>
      </c>
      <c r="K138" s="19" t="s">
        <v>551</v>
      </c>
      <c r="L138" s="4" t="s">
        <v>53</v>
      </c>
      <c r="M138" s="14" t="s">
        <v>95</v>
      </c>
      <c r="N138" s="10" t="s">
        <v>75</v>
      </c>
      <c r="O138" s="4" t="s">
        <v>171</v>
      </c>
      <c r="P138" s="11" t="s">
        <v>35</v>
      </c>
      <c r="Q138" s="4"/>
      <c r="R138" s="22">
        <v>9999</v>
      </c>
      <c r="S138" s="4" t="s">
        <v>37</v>
      </c>
      <c r="U138" s="4" t="s">
        <v>38</v>
      </c>
      <c r="V138" s="4" t="s">
        <v>38</v>
      </c>
      <c r="W138" s="4" t="s">
        <v>38</v>
      </c>
      <c r="X138" s="4"/>
      <c r="Y138" s="4"/>
      <c r="Z138" s="4"/>
    </row>
    <row r="139" spans="1:26" customFormat="1" ht="66" hidden="1">
      <c r="A139" s="22" t="s">
        <v>554</v>
      </c>
      <c r="B139" s="5" t="s">
        <v>549</v>
      </c>
      <c r="C139" s="11" t="str">
        <f t="shared" si="4"/>
        <v>CAT - Agente Cognitivo e Infraestructura AWS - Fixed</v>
      </c>
      <c r="D139" s="4" t="s">
        <v>550</v>
      </c>
      <c r="E139" s="4" t="s">
        <v>80</v>
      </c>
      <c r="F139" s="4" t="s">
        <v>168</v>
      </c>
      <c r="G139" s="5" t="s">
        <v>81</v>
      </c>
      <c r="H139" s="11" t="str">
        <f>_xlfn.IFNA(VLOOKUP(F139,clientes!A:B,2,FALSE()),"--")</f>
        <v>Unidad Administrativa Especial de Catastro Distrital</v>
      </c>
      <c r="I139" s="5" t="s">
        <v>33</v>
      </c>
      <c r="J139" s="6" t="s">
        <v>169</v>
      </c>
      <c r="K139" s="19" t="s">
        <v>551</v>
      </c>
      <c r="L139" s="4" t="s">
        <v>53</v>
      </c>
      <c r="M139" s="14" t="s">
        <v>95</v>
      </c>
      <c r="N139" s="10" t="s">
        <v>75</v>
      </c>
      <c r="O139" s="4" t="s">
        <v>171</v>
      </c>
      <c r="P139" s="11" t="s">
        <v>35</v>
      </c>
      <c r="Q139" s="4"/>
      <c r="R139" s="22">
        <v>9999</v>
      </c>
      <c r="S139" s="4" t="s">
        <v>171</v>
      </c>
      <c r="U139" s="4" t="s">
        <v>38</v>
      </c>
      <c r="V139" s="4" t="s">
        <v>38</v>
      </c>
      <c r="W139" s="4" t="s">
        <v>38</v>
      </c>
      <c r="X139" s="4"/>
      <c r="Y139" s="4"/>
      <c r="Z139" s="4"/>
    </row>
    <row r="140" spans="1:26" customFormat="1" ht="26.45" hidden="1">
      <c r="A140" s="22" t="s">
        <v>555</v>
      </c>
      <c r="B140" s="5" t="s">
        <v>556</v>
      </c>
      <c r="C140" s="11" t="str">
        <f t="shared" si="4"/>
        <v>UCA - Soporte y Mtto Quipu 2025 - Ret</v>
      </c>
      <c r="D140" s="4" t="s">
        <v>408</v>
      </c>
      <c r="E140" s="4" t="s">
        <v>60</v>
      </c>
      <c r="F140" s="4" t="s">
        <v>331</v>
      </c>
      <c r="G140" s="5" t="s">
        <v>61</v>
      </c>
      <c r="H140" s="11" t="str">
        <f>_xlfn.IFNA(VLOOKUP(F140,clientes!A:B,2,FALSE()),"--")</f>
        <v>Universidad de Caldas</v>
      </c>
      <c r="I140" s="5" t="s">
        <v>71</v>
      </c>
      <c r="J140" s="12" t="s">
        <v>332</v>
      </c>
      <c r="K140" s="27" t="s">
        <v>557</v>
      </c>
      <c r="L140" s="10" t="s">
        <v>53</v>
      </c>
      <c r="M140" s="14" t="s">
        <v>95</v>
      </c>
      <c r="N140" s="10" t="s">
        <v>75</v>
      </c>
      <c r="O140" s="4" t="s">
        <v>334</v>
      </c>
      <c r="P140" s="11" t="s">
        <v>35</v>
      </c>
      <c r="Q140" s="4" t="s">
        <v>335</v>
      </c>
      <c r="R140" s="22" t="s">
        <v>558</v>
      </c>
      <c r="S140" s="4"/>
      <c r="U140" s="4" t="s">
        <v>38</v>
      </c>
      <c r="V140" s="4" t="s">
        <v>38</v>
      </c>
      <c r="W140" s="4" t="s">
        <v>38</v>
      </c>
      <c r="X140" s="4"/>
      <c r="Y140" s="4"/>
      <c r="Z140" s="4"/>
    </row>
    <row r="141" spans="1:26" customFormat="1" ht="26.45" hidden="1">
      <c r="A141" s="22" t="s">
        <v>559</v>
      </c>
      <c r="B141" s="5" t="s">
        <v>556</v>
      </c>
      <c r="C141" s="11" t="str">
        <f t="shared" si="4"/>
        <v>UCA - Soporte y Mtto Quipu 2025 - Cloud</v>
      </c>
      <c r="D141" s="4" t="s">
        <v>408</v>
      </c>
      <c r="E141" s="5" t="s">
        <v>68</v>
      </c>
      <c r="F141" s="4" t="s">
        <v>331</v>
      </c>
      <c r="G141" s="4" t="s">
        <v>70</v>
      </c>
      <c r="H141" s="11" t="str">
        <f>_xlfn.IFNA(VLOOKUP(F141,clientes!A:B,2,FALSE()),"--")</f>
        <v>Universidad de Caldas</v>
      </c>
      <c r="I141" s="5" t="s">
        <v>71</v>
      </c>
      <c r="J141" s="12" t="s">
        <v>332</v>
      </c>
      <c r="K141" s="27" t="s">
        <v>557</v>
      </c>
      <c r="L141" s="10" t="s">
        <v>53</v>
      </c>
      <c r="M141" s="14" t="s">
        <v>95</v>
      </c>
      <c r="N141" s="10" t="s">
        <v>75</v>
      </c>
      <c r="O141" s="4" t="s">
        <v>334</v>
      </c>
      <c r="P141" s="11" t="s">
        <v>35</v>
      </c>
      <c r="Q141" s="4" t="s">
        <v>335</v>
      </c>
      <c r="R141" s="22" t="s">
        <v>560</v>
      </c>
      <c r="S141" s="4"/>
      <c r="U141" s="4" t="s">
        <v>38</v>
      </c>
      <c r="V141" s="4" t="s">
        <v>38</v>
      </c>
      <c r="W141" s="4" t="s">
        <v>38</v>
      </c>
      <c r="X141" s="4"/>
      <c r="Y141" s="4"/>
      <c r="Z141" s="4"/>
    </row>
    <row r="142" spans="1:26" customFormat="1" ht="79.150000000000006" hidden="1">
      <c r="A142" s="22" t="s">
        <v>561</v>
      </c>
      <c r="B142" s="5" t="s">
        <v>562</v>
      </c>
      <c r="C142" s="11" t="str">
        <f t="shared" si="4"/>
        <v>ICF - Evolución Datalake Fase 2 2025 - Cloud</v>
      </c>
      <c r="D142" s="4" t="s">
        <v>563</v>
      </c>
      <c r="E142" s="5" t="s">
        <v>68</v>
      </c>
      <c r="F142" s="4" t="s">
        <v>253</v>
      </c>
      <c r="G142" s="4" t="s">
        <v>70</v>
      </c>
      <c r="H142" s="11" t="str">
        <f>_xlfn.IFNA(VLOOKUP(F142,clientes!A:B,2,FALSE()),"--")</f>
        <v>Instituto Colombiano Para La Evaluacion De La Educacion ICFES</v>
      </c>
      <c r="I142" s="5" t="s">
        <v>71</v>
      </c>
      <c r="J142" s="12" t="s">
        <v>254</v>
      </c>
      <c r="K142" s="19" t="s">
        <v>564</v>
      </c>
      <c r="L142" s="10" t="s">
        <v>134</v>
      </c>
      <c r="M142" s="10" t="s">
        <v>135</v>
      </c>
      <c r="N142" s="10" t="s">
        <v>201</v>
      </c>
      <c r="O142" s="4" t="s">
        <v>256</v>
      </c>
      <c r="P142" s="11" t="s">
        <v>35</v>
      </c>
      <c r="Q142" s="11" t="s">
        <v>36</v>
      </c>
      <c r="R142" s="22"/>
      <c r="S142" s="4"/>
      <c r="U142" s="4" t="s">
        <v>38</v>
      </c>
      <c r="V142" s="4" t="s">
        <v>38</v>
      </c>
      <c r="W142" s="4" t="s">
        <v>38</v>
      </c>
      <c r="X142" s="4"/>
      <c r="Y142" s="4"/>
      <c r="Z142" s="4"/>
    </row>
    <row r="143" spans="1:26" customFormat="1" ht="26.45" hidden="1">
      <c r="A143" s="22" t="s">
        <v>565</v>
      </c>
      <c r="B143" s="5" t="s">
        <v>566</v>
      </c>
      <c r="C143" s="11" t="str">
        <f t="shared" si="4"/>
        <v>ACA - Fase 2 Datacali - Fixed</v>
      </c>
      <c r="D143" s="4" t="s">
        <v>567</v>
      </c>
      <c r="E143" s="4" t="s">
        <v>80</v>
      </c>
      <c r="F143" s="4" t="s">
        <v>69</v>
      </c>
      <c r="G143" s="5" t="s">
        <v>81</v>
      </c>
      <c r="H143" s="11" t="str">
        <f>_xlfn.IFNA(VLOOKUP(F143,clientes!A:B,2,FALSE()),"--")</f>
        <v>Alcaldia de Cali</v>
      </c>
      <c r="I143" s="5" t="s">
        <v>71</v>
      </c>
      <c r="J143" s="12" t="s">
        <v>72</v>
      </c>
      <c r="K143" s="4" t="s">
        <v>568</v>
      </c>
      <c r="L143" s="10" t="s">
        <v>73</v>
      </c>
      <c r="M143" s="10" t="s">
        <v>74</v>
      </c>
      <c r="N143" s="10" t="s">
        <v>75</v>
      </c>
      <c r="O143" s="4" t="s">
        <v>569</v>
      </c>
      <c r="P143" s="11" t="s">
        <v>77</v>
      </c>
      <c r="Q143" s="11"/>
      <c r="R143" s="22"/>
      <c r="S143" s="4"/>
      <c r="U143" s="4" t="s">
        <v>38</v>
      </c>
      <c r="V143" s="4" t="s">
        <v>38</v>
      </c>
      <c r="W143" s="4" t="s">
        <v>38</v>
      </c>
      <c r="X143" s="4"/>
      <c r="Y143" s="4"/>
      <c r="Z143" s="4"/>
    </row>
    <row r="144" spans="1:26" customFormat="1" ht="26.45" hidden="1">
      <c r="A144" s="22" t="s">
        <v>570</v>
      </c>
      <c r="B144" s="5" t="s">
        <v>571</v>
      </c>
      <c r="C144" s="11" t="str">
        <f t="shared" si="4"/>
        <v>ACA - Agente Cognitivo y Soporte Migración - Fixed</v>
      </c>
      <c r="D144" s="4" t="s">
        <v>572</v>
      </c>
      <c r="E144" s="4" t="s">
        <v>80</v>
      </c>
      <c r="F144" s="4" t="s">
        <v>69</v>
      </c>
      <c r="G144" s="5" t="s">
        <v>81</v>
      </c>
      <c r="H144" s="11" t="str">
        <f>_xlfn.IFNA(VLOOKUP(F144,clientes!A:B,2,FALSE()),"--")</f>
        <v>Alcaldia de Cali</v>
      </c>
      <c r="I144" s="5" t="s">
        <v>71</v>
      </c>
      <c r="J144" s="12" t="s">
        <v>72</v>
      </c>
      <c r="K144" s="19" t="s">
        <v>573</v>
      </c>
      <c r="L144" s="10" t="s">
        <v>73</v>
      </c>
      <c r="M144" s="10" t="s">
        <v>74</v>
      </c>
      <c r="N144" s="10" t="s">
        <v>75</v>
      </c>
      <c r="O144" s="4" t="s">
        <v>569</v>
      </c>
      <c r="P144" s="11" t="s">
        <v>77</v>
      </c>
      <c r="Q144" s="11"/>
      <c r="R144" s="22"/>
      <c r="S144" s="4"/>
      <c r="U144" s="4" t="s">
        <v>38</v>
      </c>
      <c r="V144" s="4" t="s">
        <v>38</v>
      </c>
      <c r="W144" s="4" t="s">
        <v>38</v>
      </c>
      <c r="X144" s="4"/>
      <c r="Y144" s="4"/>
      <c r="Z144" s="4"/>
    </row>
    <row r="145" spans="1:26" customFormat="1" ht="26.45" hidden="1">
      <c r="A145" s="22" t="s">
        <v>574</v>
      </c>
      <c r="B145" s="5" t="s">
        <v>571</v>
      </c>
      <c r="C145" s="11" t="str">
        <f t="shared" si="4"/>
        <v>ACA - Agente Cognitivo y Soporte Migración - Cloud</v>
      </c>
      <c r="D145" s="4" t="s">
        <v>572</v>
      </c>
      <c r="E145" s="5" t="s">
        <v>68</v>
      </c>
      <c r="F145" s="4" t="s">
        <v>69</v>
      </c>
      <c r="G145" s="4" t="s">
        <v>70</v>
      </c>
      <c r="H145" s="11" t="str">
        <f>_xlfn.IFNA(VLOOKUP(F145,clientes!A:B,2,FALSE()),"--")</f>
        <v>Alcaldia de Cali</v>
      </c>
      <c r="I145" s="5" t="s">
        <v>71</v>
      </c>
      <c r="J145" s="12" t="s">
        <v>72</v>
      </c>
      <c r="K145" s="19" t="s">
        <v>573</v>
      </c>
      <c r="L145" s="10" t="s">
        <v>73</v>
      </c>
      <c r="M145" s="10" t="s">
        <v>74</v>
      </c>
      <c r="N145" s="10" t="s">
        <v>136</v>
      </c>
      <c r="O145" s="4" t="s">
        <v>137</v>
      </c>
      <c r="P145" s="11" t="s">
        <v>77</v>
      </c>
      <c r="Q145" s="11"/>
      <c r="R145" s="22"/>
      <c r="S145" s="4"/>
      <c r="U145" s="4" t="s">
        <v>38</v>
      </c>
      <c r="V145" s="4" t="s">
        <v>38</v>
      </c>
      <c r="W145" s="4" t="s">
        <v>38</v>
      </c>
      <c r="X145" s="4"/>
      <c r="Y145" s="4"/>
      <c r="Z145" s="4"/>
    </row>
    <row r="146" spans="1:26" customFormat="1" ht="26.45" hidden="1">
      <c r="A146" s="22" t="s">
        <v>575</v>
      </c>
      <c r="B146" s="5" t="s">
        <v>571</v>
      </c>
      <c r="C146" s="11" t="str">
        <f t="shared" si="4"/>
        <v>ACA - Agente Cognitivo y Soporte Migración - Ret</v>
      </c>
      <c r="D146" s="4" t="s">
        <v>572</v>
      </c>
      <c r="E146" s="4" t="s">
        <v>60</v>
      </c>
      <c r="F146" s="4" t="s">
        <v>69</v>
      </c>
      <c r="G146" s="5" t="s">
        <v>61</v>
      </c>
      <c r="H146" s="11" t="str">
        <f>_xlfn.IFNA(VLOOKUP(F146,clientes!A:B,2,FALSE()),"--")</f>
        <v>Alcaldia de Cali</v>
      </c>
      <c r="I146" s="5" t="s">
        <v>71</v>
      </c>
      <c r="J146" s="12" t="s">
        <v>72</v>
      </c>
      <c r="K146" s="19" t="s">
        <v>573</v>
      </c>
      <c r="L146" s="10" t="s">
        <v>73</v>
      </c>
      <c r="M146" s="10" t="s">
        <v>74</v>
      </c>
      <c r="N146" s="10" t="s">
        <v>136</v>
      </c>
      <c r="O146" s="4" t="s">
        <v>137</v>
      </c>
      <c r="P146" s="11" t="s">
        <v>77</v>
      </c>
      <c r="Q146" s="11"/>
      <c r="R146" s="22"/>
      <c r="S146" s="4"/>
      <c r="U146" s="4" t="s">
        <v>38</v>
      </c>
      <c r="V146" s="4" t="s">
        <v>38</v>
      </c>
      <c r="W146" s="4" t="s">
        <v>38</v>
      </c>
      <c r="X146" s="4"/>
      <c r="Y146" s="4"/>
      <c r="Z146" s="4"/>
    </row>
    <row r="147" spans="1:26" customFormat="1" ht="26.45" hidden="1">
      <c r="A147" s="22" t="s">
        <v>576</v>
      </c>
      <c r="B147" s="5" t="s">
        <v>571</v>
      </c>
      <c r="C147" s="11" t="str">
        <f t="shared" si="4"/>
        <v>ACA - Agente Cognitivo y Soporte Migración - Ret Other Vendors</v>
      </c>
      <c r="D147" s="4" t="s">
        <v>572</v>
      </c>
      <c r="E147" s="5" t="s">
        <v>347</v>
      </c>
      <c r="F147" s="4" t="s">
        <v>69</v>
      </c>
      <c r="G147" s="5" t="s">
        <v>61</v>
      </c>
      <c r="H147" s="11" t="str">
        <f>_xlfn.IFNA(VLOOKUP(F147,clientes!A:B,2,FALSE()),"--")</f>
        <v>Alcaldia de Cali</v>
      </c>
      <c r="I147" s="5" t="s">
        <v>71</v>
      </c>
      <c r="J147" s="12" t="s">
        <v>72</v>
      </c>
      <c r="K147" s="19" t="s">
        <v>573</v>
      </c>
      <c r="L147" s="10" t="s">
        <v>73</v>
      </c>
      <c r="M147" s="10" t="s">
        <v>74</v>
      </c>
      <c r="N147" s="10" t="s">
        <v>75</v>
      </c>
      <c r="O147" s="4" t="s">
        <v>569</v>
      </c>
      <c r="P147" s="11" t="s">
        <v>77</v>
      </c>
      <c r="Q147" s="11"/>
      <c r="R147" s="22"/>
      <c r="S147" s="4"/>
      <c r="U147" s="4" t="s">
        <v>38</v>
      </c>
      <c r="V147" s="4" t="s">
        <v>38</v>
      </c>
      <c r="W147" s="4" t="s">
        <v>38</v>
      </c>
      <c r="X147" s="4"/>
      <c r="Y147" s="4"/>
      <c r="Z147" s="4"/>
    </row>
    <row r="148" spans="1:26" customFormat="1" ht="26.45" hidden="1">
      <c r="A148" s="22" t="s">
        <v>577</v>
      </c>
      <c r="B148" s="5" t="s">
        <v>571</v>
      </c>
      <c r="C148" s="11" t="str">
        <f t="shared" si="4"/>
        <v>ACA - Agente Cognitivo y Soporte Migración - Ret SW</v>
      </c>
      <c r="D148" s="4" t="s">
        <v>572</v>
      </c>
      <c r="E148" s="4" t="s">
        <v>48</v>
      </c>
      <c r="F148" s="4" t="s">
        <v>69</v>
      </c>
      <c r="G148" s="5" t="s">
        <v>50</v>
      </c>
      <c r="H148" s="11" t="str">
        <f>_xlfn.IFNA(VLOOKUP(F148,clientes!A:B,2,FALSE()),"--")</f>
        <v>Alcaldia de Cali</v>
      </c>
      <c r="I148" s="5" t="s">
        <v>71</v>
      </c>
      <c r="J148" s="12" t="s">
        <v>72</v>
      </c>
      <c r="K148" s="19" t="s">
        <v>573</v>
      </c>
      <c r="L148" s="10" t="s">
        <v>73</v>
      </c>
      <c r="M148" s="10" t="s">
        <v>74</v>
      </c>
      <c r="N148" s="10" t="s">
        <v>75</v>
      </c>
      <c r="O148" s="4" t="s">
        <v>569</v>
      </c>
      <c r="P148" s="11" t="s">
        <v>77</v>
      </c>
      <c r="Q148" s="11"/>
      <c r="R148" s="22"/>
      <c r="S148" s="4"/>
      <c r="U148" s="4" t="s">
        <v>38</v>
      </c>
      <c r="V148" s="4" t="s">
        <v>38</v>
      </c>
      <c r="W148" s="4" t="s">
        <v>38</v>
      </c>
      <c r="X148" s="4"/>
      <c r="Y148" s="4"/>
      <c r="Z148" s="4"/>
    </row>
    <row r="149" spans="1:26" customFormat="1" ht="79.150000000000006" hidden="1">
      <c r="A149" s="22" t="s">
        <v>578</v>
      </c>
      <c r="B149" s="5" t="s">
        <v>562</v>
      </c>
      <c r="C149" s="11" t="str">
        <f t="shared" si="4"/>
        <v>ICF - Evolución Datalake Fase 2 2025 - Fixed</v>
      </c>
      <c r="D149" s="4" t="s">
        <v>563</v>
      </c>
      <c r="E149" s="4" t="s">
        <v>80</v>
      </c>
      <c r="F149" s="4" t="s">
        <v>253</v>
      </c>
      <c r="G149" s="5" t="s">
        <v>81</v>
      </c>
      <c r="H149" s="11" t="str">
        <f>_xlfn.IFNA(VLOOKUP(F149,clientes!A:B,2,FALSE()),"--")</f>
        <v>Instituto Colombiano Para La Evaluacion De La Educacion ICFES</v>
      </c>
      <c r="I149" s="5" t="s">
        <v>71</v>
      </c>
      <c r="J149" s="12" t="s">
        <v>254</v>
      </c>
      <c r="K149" s="19" t="s">
        <v>564</v>
      </c>
      <c r="L149" s="10" t="s">
        <v>134</v>
      </c>
      <c r="M149" s="10" t="s">
        <v>135</v>
      </c>
      <c r="N149" s="10" t="s">
        <v>201</v>
      </c>
      <c r="O149" s="4" t="s">
        <v>256</v>
      </c>
      <c r="P149" s="11" t="s">
        <v>35</v>
      </c>
      <c r="Q149" s="11" t="s">
        <v>36</v>
      </c>
      <c r="R149" s="22"/>
      <c r="S149" s="4"/>
      <c r="U149" s="4" t="s">
        <v>38</v>
      </c>
      <c r="V149" s="4" t="s">
        <v>38</v>
      </c>
      <c r="W149" s="4" t="s">
        <v>38</v>
      </c>
      <c r="X149" s="4"/>
      <c r="Y149" s="4"/>
      <c r="Z149" s="4"/>
    </row>
    <row r="150" spans="1:26" customFormat="1" ht="79.150000000000006" hidden="1">
      <c r="A150" s="22" t="s">
        <v>579</v>
      </c>
      <c r="B150" s="5" t="s">
        <v>562</v>
      </c>
      <c r="C150" s="11" t="str">
        <f t="shared" si="4"/>
        <v>ICF - Evolución Datalake Fase 2 2025 - Ret</v>
      </c>
      <c r="D150" s="4" t="s">
        <v>563</v>
      </c>
      <c r="E150" s="4" t="s">
        <v>60</v>
      </c>
      <c r="F150" s="4" t="s">
        <v>253</v>
      </c>
      <c r="G150" s="5" t="s">
        <v>61</v>
      </c>
      <c r="H150" s="11" t="str">
        <f>_xlfn.IFNA(VLOOKUP(F150,clientes!A:B,2,FALSE()),"--")</f>
        <v>Instituto Colombiano Para La Evaluacion De La Educacion ICFES</v>
      </c>
      <c r="I150" s="5" t="s">
        <v>71</v>
      </c>
      <c r="J150" s="12" t="s">
        <v>254</v>
      </c>
      <c r="K150" s="19" t="s">
        <v>564</v>
      </c>
      <c r="L150" s="10" t="s">
        <v>134</v>
      </c>
      <c r="M150" s="10" t="s">
        <v>135</v>
      </c>
      <c r="N150" s="10" t="s">
        <v>201</v>
      </c>
      <c r="O150" s="4" t="s">
        <v>256</v>
      </c>
      <c r="P150" s="11" t="s">
        <v>35</v>
      </c>
      <c r="Q150" s="11" t="s">
        <v>36</v>
      </c>
      <c r="R150" s="22"/>
      <c r="S150" s="4"/>
      <c r="U150" s="4" t="s">
        <v>38</v>
      </c>
      <c r="V150" s="4" t="s">
        <v>38</v>
      </c>
      <c r="W150" s="4" t="s">
        <v>38</v>
      </c>
      <c r="X150" s="4"/>
      <c r="Y150" s="4"/>
      <c r="Z150" s="4"/>
    </row>
    <row r="151" spans="1:26" customFormat="1" ht="79.150000000000006" hidden="1">
      <c r="A151" s="22" t="s">
        <v>580</v>
      </c>
      <c r="B151" s="5" t="s">
        <v>562</v>
      </c>
      <c r="C151" s="11" t="str">
        <f t="shared" si="4"/>
        <v>ICF - Evolución Datalake Fase 2 2025 - Ret SW</v>
      </c>
      <c r="D151" s="4" t="s">
        <v>563</v>
      </c>
      <c r="E151" s="4" t="s">
        <v>48</v>
      </c>
      <c r="F151" s="4" t="s">
        <v>253</v>
      </c>
      <c r="G151" s="5" t="s">
        <v>50</v>
      </c>
      <c r="H151" s="11" t="str">
        <f>_xlfn.IFNA(VLOOKUP(F151,clientes!A:B,2,FALSE()),"--")</f>
        <v>Instituto Colombiano Para La Evaluacion De La Educacion ICFES</v>
      </c>
      <c r="I151" s="5" t="s">
        <v>71</v>
      </c>
      <c r="J151" s="12" t="s">
        <v>254</v>
      </c>
      <c r="K151" s="19" t="s">
        <v>564</v>
      </c>
      <c r="L151" s="10" t="s">
        <v>134</v>
      </c>
      <c r="M151" s="10" t="s">
        <v>135</v>
      </c>
      <c r="N151" s="10" t="s">
        <v>201</v>
      </c>
      <c r="O151" s="4" t="s">
        <v>256</v>
      </c>
      <c r="P151" s="11" t="s">
        <v>35</v>
      </c>
      <c r="Q151" s="11" t="s">
        <v>36</v>
      </c>
      <c r="R151" s="22"/>
      <c r="S151" s="4"/>
      <c r="U151" s="4" t="s">
        <v>38</v>
      </c>
      <c r="V151" s="4" t="s">
        <v>38</v>
      </c>
      <c r="W151" s="4" t="s">
        <v>38</v>
      </c>
      <c r="X151" s="4"/>
      <c r="Y151" s="4"/>
      <c r="Z151" s="4"/>
    </row>
    <row r="152" spans="1:26" customFormat="1" ht="79.150000000000006" hidden="1">
      <c r="A152" s="22" t="s">
        <v>581</v>
      </c>
      <c r="B152" s="70" t="s">
        <v>562</v>
      </c>
      <c r="C152" s="11" t="s">
        <v>582</v>
      </c>
      <c r="D152" s="4" t="s">
        <v>563</v>
      </c>
      <c r="E152" s="5" t="s">
        <v>347</v>
      </c>
      <c r="F152" s="4" t="s">
        <v>253</v>
      </c>
      <c r="G152" s="5" t="s">
        <v>61</v>
      </c>
      <c r="H152" s="11" t="str">
        <f>_xlfn.IFNA(VLOOKUP(F152,clientes!A:B,2,FALSE()),"--")</f>
        <v>Instituto Colombiano Para La Evaluacion De La Educacion ICFES</v>
      </c>
      <c r="I152" s="5" t="s">
        <v>33</v>
      </c>
      <c r="J152" s="4" t="s">
        <v>254</v>
      </c>
      <c r="K152" s="19" t="s">
        <v>564</v>
      </c>
      <c r="L152" s="10" t="s">
        <v>134</v>
      </c>
      <c r="M152" s="10" t="s">
        <v>135</v>
      </c>
      <c r="N152" s="10" t="s">
        <v>201</v>
      </c>
      <c r="O152" s="4" t="s">
        <v>256</v>
      </c>
      <c r="P152" s="11" t="s">
        <v>35</v>
      </c>
      <c r="Q152" s="11" t="s">
        <v>36</v>
      </c>
      <c r="R152" s="22"/>
      <c r="S152" s="4"/>
      <c r="U152" s="4" t="s">
        <v>38</v>
      </c>
      <c r="V152" s="4" t="s">
        <v>38</v>
      </c>
      <c r="W152" s="4" t="s">
        <v>38</v>
      </c>
      <c r="X152" s="4"/>
      <c r="Y152" s="4"/>
      <c r="Z152" s="4"/>
    </row>
    <row r="153" spans="1:26" customFormat="1" ht="79.150000000000006" hidden="1">
      <c r="A153" s="22" t="s">
        <v>583</v>
      </c>
      <c r="B153" s="5" t="s">
        <v>584</v>
      </c>
      <c r="C153" s="11" t="str">
        <f t="shared" ref="C153:C159" si="5">F153&amp;" - "&amp;D153&amp;" - "&amp;E153</f>
        <v>ICF - Migración OCI 2025 - Cloud</v>
      </c>
      <c r="D153" s="4" t="s">
        <v>585</v>
      </c>
      <c r="E153" s="5" t="s">
        <v>68</v>
      </c>
      <c r="F153" s="4" t="s">
        <v>253</v>
      </c>
      <c r="G153" s="4" t="s">
        <v>70</v>
      </c>
      <c r="H153" s="11" t="str">
        <f>_xlfn.IFNA(VLOOKUP(F153,clientes!A:B,2,FALSE()),"--")</f>
        <v>Instituto Colombiano Para La Evaluacion De La Educacion ICFES</v>
      </c>
      <c r="I153" s="5" t="s">
        <v>71</v>
      </c>
      <c r="J153" s="12" t="s">
        <v>254</v>
      </c>
      <c r="K153" s="27" t="s">
        <v>586</v>
      </c>
      <c r="L153" s="10" t="s">
        <v>134</v>
      </c>
      <c r="M153" s="10" t="s">
        <v>135</v>
      </c>
      <c r="N153" s="10" t="s">
        <v>136</v>
      </c>
      <c r="O153" s="4" t="s">
        <v>137</v>
      </c>
      <c r="P153" s="11" t="s">
        <v>35</v>
      </c>
      <c r="Q153" s="11" t="s">
        <v>36</v>
      </c>
      <c r="R153" s="22"/>
      <c r="S153" s="4"/>
      <c r="U153" s="4" t="s">
        <v>38</v>
      </c>
      <c r="V153" s="4" t="s">
        <v>38</v>
      </c>
      <c r="W153" s="4" t="s">
        <v>38</v>
      </c>
      <c r="X153" s="4"/>
      <c r="Y153" s="4"/>
      <c r="Z153" s="4"/>
    </row>
    <row r="154" spans="1:26" customFormat="1" ht="79.150000000000006" hidden="1">
      <c r="A154" s="22" t="s">
        <v>587</v>
      </c>
      <c r="B154" s="5" t="s">
        <v>584</v>
      </c>
      <c r="C154" s="11" t="str">
        <f t="shared" si="5"/>
        <v>ICF - Migración OCI 2025 - Fixed</v>
      </c>
      <c r="D154" s="4" t="s">
        <v>585</v>
      </c>
      <c r="E154" s="4" t="s">
        <v>80</v>
      </c>
      <c r="F154" s="4" t="s">
        <v>253</v>
      </c>
      <c r="G154" s="5" t="s">
        <v>81</v>
      </c>
      <c r="H154" s="11" t="str">
        <f>_xlfn.IFNA(VLOOKUP(F154,clientes!A:B,2,FALSE()),"--")</f>
        <v>Instituto Colombiano Para La Evaluacion De La Educacion ICFES</v>
      </c>
      <c r="I154" s="5" t="s">
        <v>71</v>
      </c>
      <c r="J154" s="12" t="s">
        <v>254</v>
      </c>
      <c r="K154" s="27" t="s">
        <v>586</v>
      </c>
      <c r="L154" s="10" t="s">
        <v>134</v>
      </c>
      <c r="M154" s="10" t="s">
        <v>135</v>
      </c>
      <c r="N154" s="10" t="s">
        <v>136</v>
      </c>
      <c r="O154" s="4" t="s">
        <v>137</v>
      </c>
      <c r="P154" s="11" t="s">
        <v>35</v>
      </c>
      <c r="Q154" s="11" t="s">
        <v>36</v>
      </c>
      <c r="R154" s="22"/>
      <c r="S154" s="4"/>
      <c r="U154" s="4" t="s">
        <v>38</v>
      </c>
      <c r="V154" s="4" t="s">
        <v>38</v>
      </c>
      <c r="W154" s="4" t="s">
        <v>38</v>
      </c>
      <c r="X154" s="4"/>
      <c r="Y154" s="4"/>
      <c r="Z154" s="4"/>
    </row>
    <row r="155" spans="1:26" customFormat="1" ht="13.15" hidden="1">
      <c r="A155" s="22" t="s">
        <v>588</v>
      </c>
      <c r="B155" s="5" t="s">
        <v>589</v>
      </c>
      <c r="C155" s="11" t="str">
        <f t="shared" si="5"/>
        <v>PRO - SmartCash - Operación - Ret</v>
      </c>
      <c r="D155" s="4" t="s">
        <v>47</v>
      </c>
      <c r="E155" s="4" t="s">
        <v>60</v>
      </c>
      <c r="F155" s="4" t="s">
        <v>590</v>
      </c>
      <c r="G155" s="5" t="s">
        <v>61</v>
      </c>
      <c r="H155" s="11" t="s">
        <v>591</v>
      </c>
      <c r="I155" s="5" t="s">
        <v>33</v>
      </c>
      <c r="J155" s="12" t="s">
        <v>592</v>
      </c>
      <c r="K155" s="27" t="s">
        <v>593</v>
      </c>
      <c r="L155" s="10" t="s">
        <v>53</v>
      </c>
      <c r="M155" s="10" t="s">
        <v>54</v>
      </c>
      <c r="N155" s="10" t="s">
        <v>55</v>
      </c>
      <c r="O155" s="4" t="s">
        <v>594</v>
      </c>
      <c r="P155" s="11" t="s">
        <v>35</v>
      </c>
      <c r="Q155" s="11"/>
      <c r="R155" s="22"/>
      <c r="S155" s="4"/>
      <c r="U155" s="4" t="s">
        <v>595</v>
      </c>
      <c r="V155" s="4" t="s">
        <v>38</v>
      </c>
      <c r="W155" s="4" t="s">
        <v>38</v>
      </c>
      <c r="X155" s="4"/>
      <c r="Y155" s="4"/>
      <c r="Z155" s="4"/>
    </row>
    <row r="156" spans="1:26" customFormat="1" ht="13.15" hidden="1">
      <c r="A156" s="22" t="s">
        <v>596</v>
      </c>
      <c r="B156" s="5" t="s">
        <v>589</v>
      </c>
      <c r="C156" s="11" t="str">
        <f t="shared" si="5"/>
        <v>PRO - SmartCash - Operación - Cloud</v>
      </c>
      <c r="D156" s="4" t="s">
        <v>47</v>
      </c>
      <c r="E156" s="5" t="s">
        <v>68</v>
      </c>
      <c r="F156" s="4" t="s">
        <v>590</v>
      </c>
      <c r="G156" s="4" t="s">
        <v>70</v>
      </c>
      <c r="H156" s="11" t="s">
        <v>591</v>
      </c>
      <c r="I156" s="5" t="s">
        <v>33</v>
      </c>
      <c r="J156" s="12" t="s">
        <v>592</v>
      </c>
      <c r="K156" s="27" t="s">
        <v>593</v>
      </c>
      <c r="L156" s="10" t="s">
        <v>53</v>
      </c>
      <c r="M156" s="10" t="s">
        <v>54</v>
      </c>
      <c r="N156" s="10" t="s">
        <v>55</v>
      </c>
      <c r="O156" s="4" t="s">
        <v>594</v>
      </c>
      <c r="P156" s="11" t="s">
        <v>35</v>
      </c>
      <c r="Q156" s="11"/>
      <c r="R156" s="22"/>
      <c r="S156" s="4"/>
      <c r="U156" s="4" t="s">
        <v>595</v>
      </c>
      <c r="V156" s="4" t="s">
        <v>38</v>
      </c>
      <c r="W156" s="4" t="s">
        <v>38</v>
      </c>
      <c r="X156" s="4"/>
      <c r="Y156" s="4"/>
      <c r="Z156" s="4"/>
    </row>
    <row r="157" spans="1:26" customFormat="1" ht="39.6" hidden="1">
      <c r="A157" s="22" t="s">
        <v>597</v>
      </c>
      <c r="B157" s="5" t="s">
        <v>598</v>
      </c>
      <c r="C157" s="11" t="str">
        <f t="shared" si="5"/>
        <v>CSJ - Digitalización archivo físico Fase II - Fixed</v>
      </c>
      <c r="D157" s="4" t="s">
        <v>599</v>
      </c>
      <c r="E157" s="4" t="s">
        <v>80</v>
      </c>
      <c r="F157" s="4" t="s">
        <v>184</v>
      </c>
      <c r="G157" s="5" t="s">
        <v>81</v>
      </c>
      <c r="H157" s="11" t="str">
        <f>_xlfn.IFNA(VLOOKUP(F157,clientes!A:B,2,FALSE()),"--")</f>
        <v>Consejo Superior de la Judicatura</v>
      </c>
      <c r="I157" s="5" t="s">
        <v>71</v>
      </c>
      <c r="J157" s="12" t="s">
        <v>185</v>
      </c>
      <c r="K157" s="4"/>
      <c r="L157" s="10" t="s">
        <v>124</v>
      </c>
      <c r="M157" s="10" t="s">
        <v>135</v>
      </c>
      <c r="N157" s="10" t="s">
        <v>201</v>
      </c>
      <c r="O157" s="4" t="s">
        <v>444</v>
      </c>
      <c r="P157" s="11" t="s">
        <v>35</v>
      </c>
      <c r="Q157" s="11"/>
      <c r="R157" s="22"/>
      <c r="S157" s="4"/>
      <c r="U157" s="4" t="s">
        <v>38</v>
      </c>
      <c r="V157" s="4" t="s">
        <v>38</v>
      </c>
      <c r="W157" s="4" t="s">
        <v>38</v>
      </c>
      <c r="X157" s="4"/>
      <c r="Y157" s="4"/>
      <c r="Z157" s="4"/>
    </row>
    <row r="158" spans="1:26" customFormat="1" ht="39.6" hidden="1">
      <c r="A158" s="22" t="s">
        <v>600</v>
      </c>
      <c r="B158" s="5" t="s">
        <v>598</v>
      </c>
      <c r="C158" s="11" t="str">
        <f t="shared" si="5"/>
        <v>CSJ - Digitalización archivo físico Fase II - Ret</v>
      </c>
      <c r="D158" s="4" t="s">
        <v>599</v>
      </c>
      <c r="E158" s="4" t="s">
        <v>60</v>
      </c>
      <c r="F158" s="4" t="s">
        <v>184</v>
      </c>
      <c r="G158" s="5" t="s">
        <v>61</v>
      </c>
      <c r="H158" s="11" t="str">
        <f>_xlfn.IFNA(VLOOKUP(F158,clientes!A:B,2,FALSE()),"--")</f>
        <v>Consejo Superior de la Judicatura</v>
      </c>
      <c r="I158" s="5" t="s">
        <v>71</v>
      </c>
      <c r="J158" s="12" t="s">
        <v>185</v>
      </c>
      <c r="K158" s="4"/>
      <c r="L158" s="10" t="s">
        <v>124</v>
      </c>
      <c r="M158" s="10" t="s">
        <v>135</v>
      </c>
      <c r="N158" s="10" t="s">
        <v>201</v>
      </c>
      <c r="O158" s="4" t="s">
        <v>444</v>
      </c>
      <c r="P158" s="11" t="s">
        <v>35</v>
      </c>
      <c r="Q158" s="11"/>
      <c r="R158" s="22"/>
      <c r="S158" s="4"/>
      <c r="U158" s="4" t="s">
        <v>38</v>
      </c>
      <c r="V158" s="4" t="s">
        <v>38</v>
      </c>
      <c r="W158" s="4" t="s">
        <v>38</v>
      </c>
      <c r="X158" s="4"/>
      <c r="Y158" s="4"/>
      <c r="Z158" s="4"/>
    </row>
    <row r="159" spans="1:26" customFormat="1" ht="39.6" hidden="1">
      <c r="A159" s="22" t="s">
        <v>601</v>
      </c>
      <c r="B159" s="5" t="s">
        <v>598</v>
      </c>
      <c r="C159" s="11" t="str">
        <f t="shared" si="5"/>
        <v>CSJ - Digitalización archivo físico Fase II - Cloud</v>
      </c>
      <c r="D159" s="4" t="s">
        <v>599</v>
      </c>
      <c r="E159" s="5" t="s">
        <v>68</v>
      </c>
      <c r="F159" s="4" t="s">
        <v>184</v>
      </c>
      <c r="G159" s="4" t="s">
        <v>70</v>
      </c>
      <c r="H159" s="11" t="str">
        <f>_xlfn.IFNA(VLOOKUP(F159,clientes!A:B,2,FALSE()),"--")</f>
        <v>Consejo Superior de la Judicatura</v>
      </c>
      <c r="I159" s="5" t="s">
        <v>71</v>
      </c>
      <c r="J159" s="12" t="s">
        <v>185</v>
      </c>
      <c r="K159" s="4"/>
      <c r="L159" s="10" t="s">
        <v>124</v>
      </c>
      <c r="M159" s="10" t="s">
        <v>135</v>
      </c>
      <c r="N159" s="10" t="s">
        <v>201</v>
      </c>
      <c r="O159" s="4" t="s">
        <v>444</v>
      </c>
      <c r="P159" s="11" t="s">
        <v>35</v>
      </c>
      <c r="Q159" s="11"/>
      <c r="R159" s="22"/>
      <c r="S159" s="4"/>
      <c r="U159" s="4" t="s">
        <v>38</v>
      </c>
      <c r="V159" s="4" t="s">
        <v>38</v>
      </c>
      <c r="W159" s="4" t="s">
        <v>38</v>
      </c>
      <c r="X159" s="4"/>
      <c r="Y159" s="4"/>
      <c r="Z159" s="4"/>
    </row>
    <row r="160" spans="1:26" customFormat="1" ht="118.9" hidden="1">
      <c r="A160" s="22" t="s">
        <v>602</v>
      </c>
      <c r="B160" s="4" t="s">
        <v>603</v>
      </c>
      <c r="C160" s="11" t="s">
        <v>604</v>
      </c>
      <c r="D160" s="4" t="s">
        <v>605</v>
      </c>
      <c r="E160" s="4" t="s">
        <v>80</v>
      </c>
      <c r="F160" s="5" t="s">
        <v>606</v>
      </c>
      <c r="G160" s="5" t="s">
        <v>81</v>
      </c>
      <c r="H160" s="11" t="str">
        <f>_xlfn.IFNA(VLOOKUP(F160,clientes!A:B,2,FALSE()),"--")</f>
        <v>La Administradora de los Recursos del Sistema General de Seguridad Social en Salud</v>
      </c>
      <c r="I160" s="5" t="s">
        <v>71</v>
      </c>
      <c r="J160" s="4" t="s">
        <v>607</v>
      </c>
      <c r="K160" s="19" t="s">
        <v>608</v>
      </c>
      <c r="L160" s="10" t="s">
        <v>282</v>
      </c>
      <c r="M160" s="10" t="s">
        <v>135</v>
      </c>
      <c r="N160" s="10" t="s">
        <v>75</v>
      </c>
      <c r="O160" s="4"/>
      <c r="P160" s="11" t="s">
        <v>77</v>
      </c>
      <c r="Q160" s="4" t="s">
        <v>609</v>
      </c>
      <c r="R160" s="22">
        <v>68998</v>
      </c>
      <c r="S160" s="4"/>
      <c r="U160" s="4" t="s">
        <v>38</v>
      </c>
      <c r="V160" s="4" t="s">
        <v>38</v>
      </c>
      <c r="W160" s="4" t="s">
        <v>38</v>
      </c>
      <c r="X160" s="4"/>
      <c r="Y160" s="4"/>
      <c r="Z160" s="4"/>
    </row>
    <row r="161" spans="1:26" customFormat="1" ht="118.9" hidden="1">
      <c r="A161" s="22" t="s">
        <v>610</v>
      </c>
      <c r="B161" s="4" t="s">
        <v>603</v>
      </c>
      <c r="C161" s="11" t="s">
        <v>611</v>
      </c>
      <c r="D161" s="4" t="s">
        <v>605</v>
      </c>
      <c r="E161" s="5" t="s">
        <v>68</v>
      </c>
      <c r="F161" s="5" t="s">
        <v>606</v>
      </c>
      <c r="G161" s="4" t="s">
        <v>70</v>
      </c>
      <c r="H161" s="11" t="str">
        <f>_xlfn.IFNA(VLOOKUP(F161,clientes!A:B,2,FALSE()),"--")</f>
        <v>La Administradora de los Recursos del Sistema General de Seguridad Social en Salud</v>
      </c>
      <c r="I161" s="5" t="s">
        <v>71</v>
      </c>
      <c r="J161" s="4" t="s">
        <v>607</v>
      </c>
      <c r="K161" s="19" t="s">
        <v>608</v>
      </c>
      <c r="L161" s="10" t="s">
        <v>282</v>
      </c>
      <c r="M161" s="10" t="s">
        <v>135</v>
      </c>
      <c r="N161" s="10" t="s">
        <v>75</v>
      </c>
      <c r="O161" s="4"/>
      <c r="P161" s="11" t="s">
        <v>77</v>
      </c>
      <c r="Q161" s="4" t="s">
        <v>609</v>
      </c>
      <c r="R161" s="22">
        <v>68999</v>
      </c>
      <c r="S161" s="4"/>
      <c r="U161" s="4" t="s">
        <v>38</v>
      </c>
      <c r="V161" s="4" t="s">
        <v>38</v>
      </c>
      <c r="W161" s="4" t="s">
        <v>38</v>
      </c>
      <c r="X161" s="4"/>
      <c r="Y161" s="4"/>
      <c r="Z161" s="4"/>
    </row>
    <row r="162" spans="1:26" customFormat="1" ht="39.6" hidden="1">
      <c r="A162" s="22" t="s">
        <v>612</v>
      </c>
      <c r="B162" s="5" t="s">
        <v>598</v>
      </c>
      <c r="C162" s="11" t="str">
        <f>F162&amp;" - "&amp;D162&amp;" - "&amp;E162</f>
        <v>CSJ - Digitalización archivo físico Fase II - Ret SW</v>
      </c>
      <c r="D162" s="4" t="s">
        <v>599</v>
      </c>
      <c r="E162" s="4" t="s">
        <v>48</v>
      </c>
      <c r="F162" s="4" t="s">
        <v>184</v>
      </c>
      <c r="G162" s="5" t="s">
        <v>50</v>
      </c>
      <c r="H162" s="11" t="str">
        <f>_xlfn.IFNA(VLOOKUP(F162,clientes!A:B,2,FALSE()),"--")</f>
        <v>Consejo Superior de la Judicatura</v>
      </c>
      <c r="I162" s="5" t="s">
        <v>71</v>
      </c>
      <c r="J162" s="12" t="s">
        <v>185</v>
      </c>
      <c r="K162" s="4"/>
      <c r="L162" s="10" t="s">
        <v>124</v>
      </c>
      <c r="M162" s="10" t="s">
        <v>135</v>
      </c>
      <c r="N162" s="10" t="s">
        <v>201</v>
      </c>
      <c r="O162" s="4" t="s">
        <v>444</v>
      </c>
      <c r="P162" s="11" t="s">
        <v>35</v>
      </c>
      <c r="Q162" s="11"/>
      <c r="R162" s="22"/>
      <c r="S162" s="4"/>
      <c r="U162" s="4" t="s">
        <v>38</v>
      </c>
      <c r="V162" s="4" t="s">
        <v>38</v>
      </c>
      <c r="W162" s="4" t="s">
        <v>38</v>
      </c>
      <c r="X162" s="4"/>
      <c r="Y162" s="4"/>
      <c r="Z162" s="4"/>
    </row>
    <row r="163" spans="1:26" customFormat="1" ht="118.9" hidden="1">
      <c r="A163" s="22" t="s">
        <v>613</v>
      </c>
      <c r="B163" s="4" t="s">
        <v>603</v>
      </c>
      <c r="C163" s="11" t="s">
        <v>614</v>
      </c>
      <c r="D163" s="4" t="s">
        <v>605</v>
      </c>
      <c r="E163" s="5" t="s">
        <v>347</v>
      </c>
      <c r="F163" s="5" t="s">
        <v>606</v>
      </c>
      <c r="G163" s="5" t="s">
        <v>61</v>
      </c>
      <c r="H163" s="11" t="str">
        <f>_xlfn.IFNA(VLOOKUP(F163,clientes!A:B,2,FALSE()),"--")</f>
        <v>La Administradora de los Recursos del Sistema General de Seguridad Social en Salud</v>
      </c>
      <c r="I163" s="5" t="s">
        <v>71</v>
      </c>
      <c r="J163" s="4" t="s">
        <v>607</v>
      </c>
      <c r="K163" s="19" t="s">
        <v>608</v>
      </c>
      <c r="L163" s="10" t="s">
        <v>282</v>
      </c>
      <c r="M163" s="10" t="s">
        <v>135</v>
      </c>
      <c r="N163" s="10" t="s">
        <v>75</v>
      </c>
      <c r="O163" s="4"/>
      <c r="P163" s="11" t="s">
        <v>77</v>
      </c>
      <c r="Q163" s="4" t="s">
        <v>609</v>
      </c>
      <c r="R163" s="22">
        <v>71118</v>
      </c>
      <c r="S163" s="4"/>
      <c r="U163" s="4" t="s">
        <v>38</v>
      </c>
      <c r="V163" s="4" t="s">
        <v>38</v>
      </c>
      <c r="W163" s="4" t="s">
        <v>38</v>
      </c>
      <c r="X163" s="4"/>
      <c r="Y163" s="4"/>
      <c r="Z163" s="4"/>
    </row>
    <row r="164" spans="1:26" customFormat="1" ht="13.15" hidden="1">
      <c r="A164" s="23" t="s">
        <v>615</v>
      </c>
      <c r="B164" s="5" t="s">
        <v>616</v>
      </c>
      <c r="C164" s="11" t="str">
        <f>F164&amp;" - "&amp;D164&amp;" - "&amp;E164</f>
        <v>BLD - Internal Project Delivery (Ad-Hoc) - Internal</v>
      </c>
      <c r="D164" s="5" t="s">
        <v>617</v>
      </c>
      <c r="E164" s="5" t="s">
        <v>30</v>
      </c>
      <c r="F164" s="42" t="s">
        <v>31</v>
      </c>
      <c r="G164" s="5" t="s">
        <v>32</v>
      </c>
      <c r="H164" s="11" t="str">
        <f>_xlfn.IFNA(VLOOKUP(F164,clientes!A:B,2,FALSE()),"--")</f>
        <v>Blend360</v>
      </c>
      <c r="I164" s="5" t="s">
        <v>33</v>
      </c>
      <c r="J164" s="11" t="s">
        <v>34</v>
      </c>
      <c r="K164" s="5" t="s">
        <v>34</v>
      </c>
      <c r="L164" s="4" t="s">
        <v>34</v>
      </c>
      <c r="M164" s="4" t="s">
        <v>34</v>
      </c>
      <c r="N164" s="4" t="s">
        <v>34</v>
      </c>
      <c r="O164" s="4" t="s">
        <v>34</v>
      </c>
      <c r="P164" s="11" t="s">
        <v>35</v>
      </c>
      <c r="Q164" s="11" t="s">
        <v>36</v>
      </c>
      <c r="R164" s="22"/>
      <c r="S164" s="10" t="s">
        <v>37</v>
      </c>
      <c r="U164" s="4" t="s">
        <v>38</v>
      </c>
      <c r="V164" s="4" t="s">
        <v>38</v>
      </c>
      <c r="W164" s="4" t="s">
        <v>38</v>
      </c>
      <c r="X164" s="4"/>
      <c r="Y164" s="4"/>
      <c r="Z164" s="4"/>
    </row>
    <row r="165" spans="1:26" customFormat="1" ht="26.45" hidden="1">
      <c r="A165" s="22" t="s">
        <v>618</v>
      </c>
      <c r="B165" s="5" t="s">
        <v>566</v>
      </c>
      <c r="C165" s="11" t="str">
        <f>F165&amp;" - "&amp;D165&amp;" - "&amp;E165</f>
        <v>ACA - Fase 2 Datacali - Cloud</v>
      </c>
      <c r="D165" s="4" t="s">
        <v>567</v>
      </c>
      <c r="E165" s="5" t="s">
        <v>68</v>
      </c>
      <c r="F165" s="4" t="s">
        <v>69</v>
      </c>
      <c r="G165" s="4" t="s">
        <v>70</v>
      </c>
      <c r="H165" s="11" t="str">
        <f>_xlfn.IFNA(VLOOKUP(F165,clientes!A:B,2,FALSE()),"--")</f>
        <v>Alcaldia de Cali</v>
      </c>
      <c r="I165" s="5" t="s">
        <v>71</v>
      </c>
      <c r="J165" s="12" t="s">
        <v>72</v>
      </c>
      <c r="K165" s="4" t="s">
        <v>568</v>
      </c>
      <c r="L165" s="10" t="s">
        <v>73</v>
      </c>
      <c r="M165" s="10" t="s">
        <v>74</v>
      </c>
      <c r="N165" s="10" t="s">
        <v>75</v>
      </c>
      <c r="O165" s="4" t="s">
        <v>569</v>
      </c>
      <c r="P165" s="11" t="s">
        <v>77</v>
      </c>
      <c r="Q165" s="11"/>
      <c r="R165" s="22"/>
      <c r="S165" s="4"/>
      <c r="U165" s="4" t="s">
        <v>38</v>
      </c>
      <c r="V165" s="4" t="s">
        <v>38</v>
      </c>
      <c r="W165" s="4" t="s">
        <v>38</v>
      </c>
      <c r="X165" s="4"/>
      <c r="Y165" s="4"/>
      <c r="Z165" s="4"/>
    </row>
    <row r="166" spans="1:26" customFormat="1" ht="39.6" hidden="1">
      <c r="A166" s="22" t="s">
        <v>619</v>
      </c>
      <c r="B166" s="5" t="s">
        <v>598</v>
      </c>
      <c r="C166" s="11" t="str">
        <f>F166&amp;" - "&amp;D166&amp;" - "&amp;E166</f>
        <v>CSJ - Digitalización archivo físico Fase II - Ret Other Vendors</v>
      </c>
      <c r="D166" s="4" t="s">
        <v>599</v>
      </c>
      <c r="E166" s="5" t="s">
        <v>347</v>
      </c>
      <c r="F166" s="4" t="s">
        <v>184</v>
      </c>
      <c r="G166" s="5" t="s">
        <v>61</v>
      </c>
      <c r="H166" s="11" t="str">
        <f>_xlfn.IFNA(VLOOKUP(F166,clientes!A:B,2,FALSE()),"--")</f>
        <v>Consejo Superior de la Judicatura</v>
      </c>
      <c r="I166" s="5" t="s">
        <v>71</v>
      </c>
      <c r="J166" s="12" t="s">
        <v>185</v>
      </c>
      <c r="K166" s="4"/>
      <c r="L166" s="10" t="s">
        <v>124</v>
      </c>
      <c r="M166" s="10" t="s">
        <v>135</v>
      </c>
      <c r="N166" s="10" t="s">
        <v>201</v>
      </c>
      <c r="O166" s="4" t="s">
        <v>444</v>
      </c>
      <c r="P166" s="11" t="s">
        <v>35</v>
      </c>
      <c r="Q166" s="11"/>
      <c r="R166" s="22"/>
      <c r="S166" s="4"/>
      <c r="U166" s="4" t="s">
        <v>38</v>
      </c>
      <c r="V166" s="4" t="s">
        <v>38</v>
      </c>
      <c r="W166" s="4" t="s">
        <v>38</v>
      </c>
      <c r="X166" s="4"/>
      <c r="Y166" s="4"/>
      <c r="Z166" s="4"/>
    </row>
    <row r="167" spans="1:26" customFormat="1" ht="39.6" hidden="1" customHeight="1">
      <c r="A167" s="22" t="s">
        <v>620</v>
      </c>
      <c r="B167" s="4" t="s">
        <v>621</v>
      </c>
      <c r="C167" s="11" t="s">
        <v>622</v>
      </c>
      <c r="D167" s="60" t="s">
        <v>623</v>
      </c>
      <c r="E167" s="4" t="s">
        <v>80</v>
      </c>
      <c r="F167" s="5" t="s">
        <v>624</v>
      </c>
      <c r="G167" s="5" t="s">
        <v>81</v>
      </c>
      <c r="H167" s="11" t="s">
        <v>625</v>
      </c>
      <c r="I167" s="5" t="s">
        <v>71</v>
      </c>
      <c r="J167" s="4" t="s">
        <v>626</v>
      </c>
      <c r="K167" s="5" t="s">
        <v>34</v>
      </c>
      <c r="L167" s="4" t="s">
        <v>34</v>
      </c>
      <c r="M167" s="10" t="s">
        <v>135</v>
      </c>
      <c r="N167" s="10" t="s">
        <v>201</v>
      </c>
      <c r="O167" s="4" t="s">
        <v>444</v>
      </c>
      <c r="P167" s="11" t="s">
        <v>35</v>
      </c>
      <c r="Q167" s="4" t="s">
        <v>609</v>
      </c>
      <c r="R167" s="22">
        <v>74567</v>
      </c>
      <c r="S167" s="4"/>
      <c r="T167" s="4"/>
      <c r="U167" s="4" t="s">
        <v>38</v>
      </c>
      <c r="V167" s="4" t="s">
        <v>38</v>
      </c>
      <c r="W167" s="4" t="s">
        <v>38</v>
      </c>
      <c r="X167" s="4"/>
      <c r="Y167" s="62"/>
      <c r="Z167" s="4"/>
    </row>
    <row r="168" spans="1:26" customFormat="1" ht="39.6" hidden="1" customHeight="1">
      <c r="A168" s="22" t="s">
        <v>627</v>
      </c>
      <c r="B168" s="4" t="s">
        <v>621</v>
      </c>
      <c r="C168" s="11" t="s">
        <v>628</v>
      </c>
      <c r="D168" s="60" t="s">
        <v>623</v>
      </c>
      <c r="E168" s="4" t="s">
        <v>60</v>
      </c>
      <c r="F168" s="5" t="s">
        <v>624</v>
      </c>
      <c r="G168" s="5" t="s">
        <v>61</v>
      </c>
      <c r="H168" s="11" t="s">
        <v>625</v>
      </c>
      <c r="I168" s="5" t="s">
        <v>71</v>
      </c>
      <c r="J168" s="4" t="s">
        <v>626</v>
      </c>
      <c r="K168" s="5" t="s">
        <v>34</v>
      </c>
      <c r="L168" s="4" t="s">
        <v>34</v>
      </c>
      <c r="M168" s="10" t="s">
        <v>135</v>
      </c>
      <c r="N168" s="10" t="s">
        <v>201</v>
      </c>
      <c r="O168" s="4" t="s">
        <v>444</v>
      </c>
      <c r="P168" s="11" t="s">
        <v>35</v>
      </c>
      <c r="Q168" s="4" t="s">
        <v>609</v>
      </c>
      <c r="R168" s="22">
        <v>74568</v>
      </c>
      <c r="S168" s="4"/>
      <c r="T168" s="4"/>
      <c r="U168" s="4" t="s">
        <v>38</v>
      </c>
      <c r="V168" s="4" t="s">
        <v>38</v>
      </c>
      <c r="W168" s="4" t="s">
        <v>38</v>
      </c>
      <c r="X168" s="4"/>
      <c r="Y168" s="4"/>
      <c r="Z168" s="4"/>
    </row>
    <row r="169" spans="1:26" customFormat="1" ht="39.6" hidden="1">
      <c r="A169" s="22" t="s">
        <v>629</v>
      </c>
      <c r="B169" s="4" t="s">
        <v>630</v>
      </c>
      <c r="C169" s="11" t="s">
        <v>631</v>
      </c>
      <c r="D169" s="4" t="s">
        <v>632</v>
      </c>
      <c r="E169" s="4" t="s">
        <v>80</v>
      </c>
      <c r="F169" s="4" t="s">
        <v>192</v>
      </c>
      <c r="G169" s="5" t="s">
        <v>81</v>
      </c>
      <c r="H169" s="11" t="str">
        <f>_xlfn.IFNA(VLOOKUP(F169,clientes!A:B,2,FALSE()),"--")</f>
        <v>Universidad Nacional de Colombia</v>
      </c>
      <c r="I169" s="5" t="s">
        <v>33</v>
      </c>
      <c r="J169" s="4"/>
      <c r="K169" s="19" t="s">
        <v>194</v>
      </c>
      <c r="L169" s="4" t="s">
        <v>53</v>
      </c>
      <c r="M169" s="4" t="s">
        <v>213</v>
      </c>
      <c r="N169" s="10" t="s">
        <v>136</v>
      </c>
      <c r="O169" s="4" t="s">
        <v>137</v>
      </c>
      <c r="P169" s="11" t="s">
        <v>35</v>
      </c>
      <c r="Q169" s="4"/>
      <c r="R169" s="22">
        <v>68449</v>
      </c>
      <c r="S169" s="4"/>
      <c r="U169" s="4" t="s">
        <v>38</v>
      </c>
      <c r="V169" s="4" t="s">
        <v>38</v>
      </c>
      <c r="W169" s="4" t="s">
        <v>38</v>
      </c>
      <c r="X169" s="4"/>
      <c r="Y169" s="4"/>
      <c r="Z169" s="4"/>
    </row>
    <row r="170" spans="1:26" customFormat="1" ht="39.6" hidden="1">
      <c r="A170" s="22" t="s">
        <v>633</v>
      </c>
      <c r="B170" s="4" t="s">
        <v>630</v>
      </c>
      <c r="C170" s="11" t="s">
        <v>634</v>
      </c>
      <c r="D170" s="4" t="s">
        <v>632</v>
      </c>
      <c r="E170" s="5" t="s">
        <v>68</v>
      </c>
      <c r="F170" s="4" t="s">
        <v>192</v>
      </c>
      <c r="G170" s="4" t="s">
        <v>70</v>
      </c>
      <c r="H170" s="11" t="str">
        <f>_xlfn.IFNA(VLOOKUP(F170,clientes!A:B,2,FALSE()),"--")</f>
        <v>Universidad Nacional de Colombia</v>
      </c>
      <c r="I170" s="5" t="s">
        <v>33</v>
      </c>
      <c r="J170" s="4"/>
      <c r="K170" s="19" t="s">
        <v>194</v>
      </c>
      <c r="L170" s="4" t="s">
        <v>53</v>
      </c>
      <c r="M170" s="4" t="s">
        <v>213</v>
      </c>
      <c r="N170" s="10" t="s">
        <v>136</v>
      </c>
      <c r="O170" s="4" t="s">
        <v>137</v>
      </c>
      <c r="P170" s="11" t="s">
        <v>35</v>
      </c>
      <c r="Q170" s="4"/>
      <c r="R170" s="22">
        <v>68452</v>
      </c>
      <c r="S170" s="4"/>
      <c r="U170" s="4" t="s">
        <v>38</v>
      </c>
      <c r="V170" s="4" t="s">
        <v>38</v>
      </c>
      <c r="W170" s="4" t="s">
        <v>38</v>
      </c>
      <c r="X170" s="4"/>
      <c r="Y170" s="4"/>
      <c r="Z170" s="4"/>
    </row>
    <row r="171" spans="1:26" customFormat="1" ht="39.6" hidden="1">
      <c r="A171" s="22" t="s">
        <v>635</v>
      </c>
      <c r="B171" s="4" t="s">
        <v>636</v>
      </c>
      <c r="C171" s="11" t="str">
        <f t="shared" ref="C171:C179" si="6">F171&amp;" - "&amp;D171&amp;" - "&amp;E171</f>
        <v>SDH - Datalake Secretaria del Hábitat - Cloud</v>
      </c>
      <c r="D171" s="5" t="s">
        <v>302</v>
      </c>
      <c r="E171" s="5" t="s">
        <v>68</v>
      </c>
      <c r="F171" s="5" t="s">
        <v>303</v>
      </c>
      <c r="G171" s="4" t="s">
        <v>70</v>
      </c>
      <c r="H171" s="11" t="str">
        <f>_xlfn.IFNA(VLOOKUP(F171,clientes!A:B,2,FALSE()),"--")</f>
        <v>Secretaria Distrital del Hábitat</v>
      </c>
      <c r="I171" s="5" t="s">
        <v>33</v>
      </c>
      <c r="J171" s="6" t="s">
        <v>304</v>
      </c>
      <c r="K171" s="43" t="s">
        <v>637</v>
      </c>
      <c r="L171" s="10" t="s">
        <v>124</v>
      </c>
      <c r="M171" s="10" t="s">
        <v>95</v>
      </c>
      <c r="N171" s="10" t="s">
        <v>201</v>
      </c>
      <c r="O171" s="4" t="s">
        <v>256</v>
      </c>
      <c r="P171" s="11" t="s">
        <v>35</v>
      </c>
      <c r="Q171" s="11" t="s">
        <v>36</v>
      </c>
      <c r="R171" s="23" t="s">
        <v>306</v>
      </c>
      <c r="S171" s="10" t="s">
        <v>37</v>
      </c>
      <c r="U171" s="48" t="s">
        <v>638</v>
      </c>
      <c r="V171" s="43" t="s">
        <v>639</v>
      </c>
      <c r="W171" s="43" t="s">
        <v>640</v>
      </c>
      <c r="X171" s="4"/>
      <c r="Y171" s="43" t="s">
        <v>641</v>
      </c>
      <c r="Z171" s="74"/>
    </row>
    <row r="172" spans="1:26" customFormat="1" ht="39.6" hidden="1">
      <c r="A172" s="22" t="s">
        <v>642</v>
      </c>
      <c r="B172" s="4" t="s">
        <v>636</v>
      </c>
      <c r="C172" s="11" t="str">
        <f t="shared" si="6"/>
        <v>SDH - Datalake Secretaria del Hábitat - Ret</v>
      </c>
      <c r="D172" s="5" t="s">
        <v>302</v>
      </c>
      <c r="E172" s="5" t="s">
        <v>60</v>
      </c>
      <c r="F172" s="5" t="s">
        <v>303</v>
      </c>
      <c r="G172" s="5" t="s">
        <v>61</v>
      </c>
      <c r="H172" s="11" t="str">
        <f>_xlfn.IFNA(VLOOKUP(F172,clientes!A:B,2,FALSE()),"--")</f>
        <v>Secretaria Distrital del Hábitat</v>
      </c>
      <c r="I172" s="5" t="s">
        <v>33</v>
      </c>
      <c r="J172" s="6" t="s">
        <v>304</v>
      </c>
      <c r="K172" s="43" t="s">
        <v>637</v>
      </c>
      <c r="L172" s="10" t="s">
        <v>124</v>
      </c>
      <c r="M172" s="10" t="s">
        <v>95</v>
      </c>
      <c r="N172" s="10" t="s">
        <v>201</v>
      </c>
      <c r="O172" s="4" t="s">
        <v>256</v>
      </c>
      <c r="P172" s="11" t="s">
        <v>35</v>
      </c>
      <c r="Q172" s="11" t="s">
        <v>36</v>
      </c>
      <c r="R172" s="23" t="s">
        <v>306</v>
      </c>
      <c r="S172" s="10" t="s">
        <v>64</v>
      </c>
      <c r="U172" s="48" t="s">
        <v>638</v>
      </c>
      <c r="V172" s="43" t="s">
        <v>639</v>
      </c>
      <c r="W172" s="43" t="s">
        <v>640</v>
      </c>
      <c r="X172" s="4"/>
      <c r="Y172" s="19" t="s">
        <v>641</v>
      </c>
      <c r="Z172" s="74"/>
    </row>
    <row r="173" spans="1:26" customFormat="1" ht="39.6" hidden="1">
      <c r="A173" s="22" t="s">
        <v>643</v>
      </c>
      <c r="B173" s="4" t="s">
        <v>636</v>
      </c>
      <c r="C173" s="11" t="str">
        <f t="shared" si="6"/>
        <v>SDH - Datalake Secretaria del Hábitat - Ret SW</v>
      </c>
      <c r="D173" s="5" t="s">
        <v>302</v>
      </c>
      <c r="E173" s="5" t="s">
        <v>48</v>
      </c>
      <c r="F173" s="5" t="s">
        <v>303</v>
      </c>
      <c r="G173" s="5" t="s">
        <v>50</v>
      </c>
      <c r="H173" s="11" t="str">
        <f>_xlfn.IFNA(VLOOKUP(F173,clientes!A:B,2,FALSE()),"--")</f>
        <v>Secretaria Distrital del Hábitat</v>
      </c>
      <c r="I173" s="5" t="s">
        <v>33</v>
      </c>
      <c r="J173" s="6" t="s">
        <v>304</v>
      </c>
      <c r="K173" s="43" t="s">
        <v>637</v>
      </c>
      <c r="L173" s="10" t="s">
        <v>124</v>
      </c>
      <c r="M173" s="10" t="s">
        <v>95</v>
      </c>
      <c r="N173" s="10" t="s">
        <v>201</v>
      </c>
      <c r="O173" s="4" t="s">
        <v>256</v>
      </c>
      <c r="P173" s="11" t="s">
        <v>35</v>
      </c>
      <c r="Q173" s="11" t="s">
        <v>36</v>
      </c>
      <c r="R173" s="23" t="s">
        <v>306</v>
      </c>
      <c r="S173" s="10" t="s">
        <v>37</v>
      </c>
      <c r="U173" s="48" t="s">
        <v>638</v>
      </c>
      <c r="V173" s="43" t="s">
        <v>639</v>
      </c>
      <c r="W173" s="43" t="s">
        <v>640</v>
      </c>
      <c r="X173" s="4"/>
      <c r="Y173" s="43" t="s">
        <v>641</v>
      </c>
      <c r="Z173" s="74"/>
    </row>
    <row r="174" spans="1:26" customFormat="1" ht="26.45" hidden="1">
      <c r="A174" s="22" t="s">
        <v>644</v>
      </c>
      <c r="B174" s="4" t="s">
        <v>645</v>
      </c>
      <c r="C174" s="11" t="str">
        <f t="shared" si="6"/>
        <v>ACA -  Virtualización infraestructura Cali  - Cloud</v>
      </c>
      <c r="D174" s="4" t="s">
        <v>646</v>
      </c>
      <c r="E174" s="5" t="s">
        <v>68</v>
      </c>
      <c r="F174" s="4" t="s">
        <v>69</v>
      </c>
      <c r="G174" s="4" t="s">
        <v>70</v>
      </c>
      <c r="H174" s="11" t="str">
        <f>_xlfn.IFNA(VLOOKUP(F174,clientes!A:B,2,FALSE()),"--")</f>
        <v>Alcaldia de Cali</v>
      </c>
      <c r="I174" s="5" t="s">
        <v>33</v>
      </c>
      <c r="J174" s="12" t="s">
        <v>72</v>
      </c>
      <c r="K174" s="48" t="s">
        <v>647</v>
      </c>
      <c r="L174" s="10" t="s">
        <v>73</v>
      </c>
      <c r="M174" s="10" t="s">
        <v>180</v>
      </c>
      <c r="N174" s="10" t="s">
        <v>136</v>
      </c>
      <c r="O174" s="4" t="s">
        <v>137</v>
      </c>
      <c r="P174" s="11" t="s">
        <v>35</v>
      </c>
      <c r="Q174" s="11"/>
      <c r="R174" s="22"/>
      <c r="S174" s="4"/>
      <c r="U174" s="4" t="s">
        <v>38</v>
      </c>
      <c r="V174" s="4" t="s">
        <v>38</v>
      </c>
      <c r="W174" s="4" t="s">
        <v>38</v>
      </c>
      <c r="X174" s="4"/>
      <c r="Y174" s="4"/>
      <c r="Z174" s="4"/>
    </row>
    <row r="175" spans="1:26" customFormat="1" ht="26.45" hidden="1">
      <c r="A175" s="22" t="s">
        <v>648</v>
      </c>
      <c r="B175" s="4" t="s">
        <v>645</v>
      </c>
      <c r="C175" s="11" t="str">
        <f t="shared" si="6"/>
        <v>ACA -  Virtualización infraestructura Cali  - Ret</v>
      </c>
      <c r="D175" s="4" t="s">
        <v>646</v>
      </c>
      <c r="E175" s="4" t="s">
        <v>60</v>
      </c>
      <c r="F175" s="4" t="s">
        <v>69</v>
      </c>
      <c r="G175" s="5" t="s">
        <v>61</v>
      </c>
      <c r="H175" s="11" t="str">
        <f>_xlfn.IFNA(VLOOKUP(F175,clientes!A:B,2,FALSE()),"--")</f>
        <v>Alcaldia de Cali</v>
      </c>
      <c r="I175" s="5" t="s">
        <v>33</v>
      </c>
      <c r="J175" s="12" t="s">
        <v>72</v>
      </c>
      <c r="K175" s="48" t="s">
        <v>647</v>
      </c>
      <c r="L175" s="10" t="s">
        <v>73</v>
      </c>
      <c r="M175" s="10" t="s">
        <v>180</v>
      </c>
      <c r="N175" s="10" t="s">
        <v>136</v>
      </c>
      <c r="O175" s="4" t="s">
        <v>137</v>
      </c>
      <c r="P175" s="11" t="s">
        <v>35</v>
      </c>
      <c r="Q175" s="11"/>
      <c r="R175" s="22"/>
      <c r="S175" s="4"/>
      <c r="U175" s="4" t="s">
        <v>38</v>
      </c>
      <c r="V175" s="4" t="s">
        <v>38</v>
      </c>
      <c r="W175" s="4" t="s">
        <v>38</v>
      </c>
      <c r="X175" s="4"/>
      <c r="Y175" s="4"/>
      <c r="Z175" s="4"/>
    </row>
    <row r="176" spans="1:26" customFormat="1" ht="26.45" hidden="1">
      <c r="A176" s="22" t="s">
        <v>649</v>
      </c>
      <c r="B176" s="4" t="s">
        <v>645</v>
      </c>
      <c r="C176" s="11" t="str">
        <f t="shared" si="6"/>
        <v>ACA -  Virtualización infraestructura Cali  - Ret SW</v>
      </c>
      <c r="D176" s="4" t="s">
        <v>646</v>
      </c>
      <c r="E176" s="4" t="s">
        <v>48</v>
      </c>
      <c r="F176" s="4" t="s">
        <v>69</v>
      </c>
      <c r="G176" s="5" t="s">
        <v>50</v>
      </c>
      <c r="H176" s="11" t="str">
        <f>_xlfn.IFNA(VLOOKUP(F176,clientes!A:B,2,FALSE()),"--")</f>
        <v>Alcaldia de Cali</v>
      </c>
      <c r="I176" s="5" t="s">
        <v>33</v>
      </c>
      <c r="J176" s="12" t="s">
        <v>72</v>
      </c>
      <c r="K176" s="48" t="s">
        <v>647</v>
      </c>
      <c r="L176" s="10" t="s">
        <v>73</v>
      </c>
      <c r="M176" s="10" t="s">
        <v>180</v>
      </c>
      <c r="N176" s="10" t="s">
        <v>136</v>
      </c>
      <c r="O176" s="4" t="s">
        <v>137</v>
      </c>
      <c r="P176" s="11" t="s">
        <v>35</v>
      </c>
      <c r="Q176" s="11"/>
      <c r="R176" s="22"/>
      <c r="S176" s="4"/>
      <c r="U176" s="4" t="s">
        <v>38</v>
      </c>
      <c r="V176" s="4" t="s">
        <v>38</v>
      </c>
      <c r="W176" s="4" t="s">
        <v>38</v>
      </c>
      <c r="X176" s="4"/>
      <c r="Y176" s="4"/>
      <c r="Z176" s="4"/>
    </row>
    <row r="177" spans="1:26" customFormat="1" ht="26.45" hidden="1">
      <c r="A177" s="22" t="s">
        <v>650</v>
      </c>
      <c r="B177" s="4" t="s">
        <v>645</v>
      </c>
      <c r="C177" s="11" t="str">
        <f t="shared" si="6"/>
        <v>ACA -  Virtualización infraestructura Cali  - Ret Other Vendors</v>
      </c>
      <c r="D177" s="4" t="s">
        <v>646</v>
      </c>
      <c r="E177" s="5" t="s">
        <v>347</v>
      </c>
      <c r="F177" s="4" t="s">
        <v>69</v>
      </c>
      <c r="G177" s="5" t="s">
        <v>61</v>
      </c>
      <c r="H177" s="11" t="str">
        <f>_xlfn.IFNA(VLOOKUP(F177,clientes!A:B,2,FALSE()),"--")</f>
        <v>Alcaldia de Cali</v>
      </c>
      <c r="I177" s="5" t="s">
        <v>33</v>
      </c>
      <c r="J177" s="12" t="s">
        <v>72</v>
      </c>
      <c r="K177" s="48" t="s">
        <v>647</v>
      </c>
      <c r="L177" s="10" t="s">
        <v>73</v>
      </c>
      <c r="M177" s="10" t="s">
        <v>180</v>
      </c>
      <c r="N177" s="10" t="s">
        <v>136</v>
      </c>
      <c r="O177" s="4" t="s">
        <v>137</v>
      </c>
      <c r="P177" s="11" t="s">
        <v>35</v>
      </c>
      <c r="Q177" s="11"/>
      <c r="R177" s="22"/>
      <c r="S177" s="4"/>
      <c r="U177" s="4" t="s">
        <v>38</v>
      </c>
      <c r="V177" s="4" t="s">
        <v>38</v>
      </c>
      <c r="W177" s="4" t="s">
        <v>38</v>
      </c>
      <c r="X177" s="4"/>
      <c r="Y177" s="4"/>
      <c r="Z177" s="4"/>
    </row>
    <row r="178" spans="1:26" customFormat="1" ht="26.45" hidden="1">
      <c r="A178" s="22" t="s">
        <v>651</v>
      </c>
      <c r="B178" s="4" t="s">
        <v>652</v>
      </c>
      <c r="C178" s="11" t="str">
        <f t="shared" si="6"/>
        <v>ACA - Fase III DataCali - Fixed</v>
      </c>
      <c r="D178" s="4" t="s">
        <v>653</v>
      </c>
      <c r="E178" s="4" t="s">
        <v>80</v>
      </c>
      <c r="F178" s="4" t="s">
        <v>69</v>
      </c>
      <c r="G178" s="5" t="s">
        <v>81</v>
      </c>
      <c r="H178" s="11" t="str">
        <f>_xlfn.IFNA(VLOOKUP(F178,clientes!A:B,2,FALSE()),"--")</f>
        <v>Alcaldia de Cali</v>
      </c>
      <c r="I178" s="5" t="s">
        <v>33</v>
      </c>
      <c r="J178" s="12" t="s">
        <v>72</v>
      </c>
      <c r="K178" s="48" t="s">
        <v>654</v>
      </c>
      <c r="L178" s="10" t="s">
        <v>73</v>
      </c>
      <c r="M178" s="10" t="s">
        <v>180</v>
      </c>
      <c r="N178" s="10" t="s">
        <v>75</v>
      </c>
      <c r="O178" s="4" t="s">
        <v>569</v>
      </c>
      <c r="P178" s="11" t="s">
        <v>35</v>
      </c>
      <c r="Q178" s="11"/>
      <c r="R178" s="22"/>
      <c r="S178" s="4"/>
      <c r="U178" s="4" t="s">
        <v>38</v>
      </c>
      <c r="V178" s="4" t="s">
        <v>38</v>
      </c>
      <c r="W178" s="4" t="s">
        <v>38</v>
      </c>
      <c r="X178" s="4"/>
      <c r="Y178" s="4"/>
      <c r="Z178" s="4"/>
    </row>
    <row r="179" spans="1:26" customFormat="1" ht="26.45" hidden="1">
      <c r="A179" s="22" t="s">
        <v>655</v>
      </c>
      <c r="B179" s="4" t="s">
        <v>652</v>
      </c>
      <c r="C179" s="11" t="str">
        <f t="shared" si="6"/>
        <v>ACA - Fase III DataCali - Ret Other Vendors</v>
      </c>
      <c r="D179" s="4" t="s">
        <v>653</v>
      </c>
      <c r="E179" s="5" t="s">
        <v>347</v>
      </c>
      <c r="F179" s="4" t="s">
        <v>69</v>
      </c>
      <c r="G179" s="5" t="s">
        <v>61</v>
      </c>
      <c r="H179" s="11" t="str">
        <f>_xlfn.IFNA(VLOOKUP(F179,clientes!A:B,2,FALSE()),"--")</f>
        <v>Alcaldia de Cali</v>
      </c>
      <c r="I179" s="5" t="s">
        <v>33</v>
      </c>
      <c r="J179" s="12" t="s">
        <v>72</v>
      </c>
      <c r="K179" s="48" t="s">
        <v>654</v>
      </c>
      <c r="L179" s="10" t="s">
        <v>73</v>
      </c>
      <c r="M179" s="10" t="s">
        <v>180</v>
      </c>
      <c r="N179" s="10" t="s">
        <v>75</v>
      </c>
      <c r="O179" s="4" t="s">
        <v>569</v>
      </c>
      <c r="P179" s="11" t="s">
        <v>35</v>
      </c>
      <c r="Q179" s="11"/>
      <c r="R179" s="22"/>
      <c r="S179" s="4"/>
      <c r="U179" s="4" t="s">
        <v>38</v>
      </c>
      <c r="V179" s="4" t="s">
        <v>38</v>
      </c>
      <c r="W179" s="4" t="s">
        <v>38</v>
      </c>
      <c r="X179" s="4"/>
      <c r="Y179" s="4"/>
      <c r="Z179" s="4"/>
    </row>
    <row r="180" spans="1:26" ht="118.9" hidden="1">
      <c r="A180" s="22" t="s">
        <v>656</v>
      </c>
      <c r="B180" s="4" t="s">
        <v>603</v>
      </c>
      <c r="C180" t="s">
        <v>657</v>
      </c>
      <c r="D180" s="4" t="s">
        <v>605</v>
      </c>
      <c r="E180" s="4" t="s">
        <v>48</v>
      </c>
      <c r="F180" s="4" t="s">
        <v>606</v>
      </c>
      <c r="G180" s="5" t="s">
        <v>50</v>
      </c>
      <c r="H180" s="11" t="str">
        <f>_xlfn.IFNA(VLOOKUP(F180,clientes!A:B,2,FALSE()),"--")</f>
        <v>La Administradora de los Recursos del Sistema General de Seguridad Social en Salud</v>
      </c>
      <c r="I180" s="5" t="s">
        <v>71</v>
      </c>
      <c r="K180" s="19" t="s">
        <v>608</v>
      </c>
      <c r="L180" s="4" t="s">
        <v>282</v>
      </c>
      <c r="M180" s="4" t="s">
        <v>135</v>
      </c>
      <c r="N180" s="10" t="s">
        <v>75</v>
      </c>
      <c r="O180" s="4" t="s">
        <v>241</v>
      </c>
      <c r="P180" s="11" t="s">
        <v>77</v>
      </c>
      <c r="U180" s="4" t="s">
        <v>38</v>
      </c>
      <c r="V180" s="4" t="s">
        <v>38</v>
      </c>
      <c r="W180" s="4" t="s">
        <v>38</v>
      </c>
    </row>
    <row r="181" spans="1:26" ht="39.6" hidden="1">
      <c r="A181" s="22" t="s">
        <v>658</v>
      </c>
      <c r="B181" s="4" t="s">
        <v>659</v>
      </c>
      <c r="C181" s="12" t="s">
        <v>660</v>
      </c>
      <c r="D181" s="12" t="s">
        <v>661</v>
      </c>
      <c r="E181" s="4" t="s">
        <v>80</v>
      </c>
      <c r="F181" s="4" t="s">
        <v>662</v>
      </c>
      <c r="G181" s="5" t="s">
        <v>81</v>
      </c>
      <c r="H181" s="11" t="str">
        <f>_xlfn.IFNA(VLOOKUP(F181,clientes!A:B,2,FALSE()),"--")</f>
        <v>Secretaría de Educación del Distrito</v>
      </c>
      <c r="I181" s="5" t="s">
        <v>33</v>
      </c>
      <c r="J181" s="12" t="s">
        <v>663</v>
      </c>
      <c r="K181" s="52" t="s">
        <v>664</v>
      </c>
      <c r="L181" s="4" t="s">
        <v>358</v>
      </c>
      <c r="M181" s="4" t="s">
        <v>74</v>
      </c>
      <c r="N181" s="4" t="s">
        <v>201</v>
      </c>
      <c r="O181" s="4" t="s">
        <v>256</v>
      </c>
      <c r="P181" s="11" t="s">
        <v>35</v>
      </c>
      <c r="T181"/>
      <c r="U181" s="4" t="s">
        <v>665</v>
      </c>
      <c r="V181" s="4" t="s">
        <v>666</v>
      </c>
      <c r="W181" s="4" t="s">
        <v>667</v>
      </c>
    </row>
    <row r="182" spans="1:26" ht="39.6" hidden="1">
      <c r="A182" s="22" t="s">
        <v>668</v>
      </c>
      <c r="B182" s="4" t="s">
        <v>659</v>
      </c>
      <c r="C182" s="12" t="s">
        <v>669</v>
      </c>
      <c r="D182" s="12" t="s">
        <v>661</v>
      </c>
      <c r="E182" s="4" t="s">
        <v>60</v>
      </c>
      <c r="F182" s="4" t="s">
        <v>662</v>
      </c>
      <c r="G182" s="5" t="s">
        <v>50</v>
      </c>
      <c r="H182" s="11" t="str">
        <f>_xlfn.IFNA(VLOOKUP(F182,clientes!A:B,2,FALSE()),"--")</f>
        <v>Secretaría de Educación del Distrito</v>
      </c>
      <c r="I182" s="5" t="s">
        <v>33</v>
      </c>
      <c r="J182" s="12" t="s">
        <v>663</v>
      </c>
      <c r="K182" s="48" t="s">
        <v>664</v>
      </c>
      <c r="L182" s="4" t="s">
        <v>358</v>
      </c>
      <c r="M182" s="4" t="s">
        <v>74</v>
      </c>
      <c r="N182" s="4" t="s">
        <v>201</v>
      </c>
      <c r="O182" s="4" t="s">
        <v>256</v>
      </c>
      <c r="P182" s="11" t="s">
        <v>35</v>
      </c>
      <c r="U182" s="4" t="s">
        <v>665</v>
      </c>
      <c r="V182" s="4" t="s">
        <v>666</v>
      </c>
      <c r="W182" s="4" t="s">
        <v>667</v>
      </c>
    </row>
    <row r="183" spans="1:26" ht="39.6" hidden="1">
      <c r="A183" s="22" t="s">
        <v>670</v>
      </c>
      <c r="B183" s="4" t="s">
        <v>659</v>
      </c>
      <c r="C183" s="12" t="s">
        <v>671</v>
      </c>
      <c r="D183" s="12" t="s">
        <v>661</v>
      </c>
      <c r="E183" s="4" t="s">
        <v>48</v>
      </c>
      <c r="F183" s="4" t="s">
        <v>662</v>
      </c>
      <c r="G183" s="5" t="s">
        <v>50</v>
      </c>
      <c r="H183" s="11" t="str">
        <f>_xlfn.IFNA(VLOOKUP(F183,clientes!A:B,2,FALSE()),"--")</f>
        <v>Secretaría de Educación del Distrito</v>
      </c>
      <c r="I183" s="5" t="s">
        <v>33</v>
      </c>
      <c r="J183" s="12" t="s">
        <v>663</v>
      </c>
      <c r="K183" s="48" t="s">
        <v>664</v>
      </c>
      <c r="L183" s="4" t="s">
        <v>358</v>
      </c>
      <c r="M183" s="4" t="s">
        <v>74</v>
      </c>
      <c r="N183" s="4" t="s">
        <v>201</v>
      </c>
      <c r="O183" s="4" t="s">
        <v>256</v>
      </c>
      <c r="P183" s="11" t="s">
        <v>35</v>
      </c>
      <c r="U183" s="4" t="s">
        <v>665</v>
      </c>
      <c r="V183" s="4" t="s">
        <v>666</v>
      </c>
      <c r="W183" s="4" t="s">
        <v>667</v>
      </c>
    </row>
    <row r="184" spans="1:26" ht="39.6" hidden="1">
      <c r="A184" s="22" t="s">
        <v>672</v>
      </c>
      <c r="B184" s="4" t="s">
        <v>659</v>
      </c>
      <c r="C184" s="12" t="s">
        <v>673</v>
      </c>
      <c r="D184" s="12" t="s">
        <v>661</v>
      </c>
      <c r="E184" s="4" t="s">
        <v>68</v>
      </c>
      <c r="F184" s="4" t="s">
        <v>662</v>
      </c>
      <c r="G184" s="5" t="s">
        <v>50</v>
      </c>
      <c r="H184" s="11" t="str">
        <f>_xlfn.IFNA(VLOOKUP(F184,clientes!A:B,2,FALSE()),"--")</f>
        <v>Secretaría de Educación del Distrito</v>
      </c>
      <c r="I184" s="5" t="s">
        <v>33</v>
      </c>
      <c r="J184" s="12" t="s">
        <v>663</v>
      </c>
      <c r="K184" s="48" t="s">
        <v>664</v>
      </c>
      <c r="L184" s="4" t="s">
        <v>358</v>
      </c>
      <c r="M184" s="4" t="s">
        <v>74</v>
      </c>
      <c r="N184" s="4" t="s">
        <v>201</v>
      </c>
      <c r="O184" s="4" t="s">
        <v>256</v>
      </c>
      <c r="P184" s="11" t="s">
        <v>35</v>
      </c>
      <c r="U184" s="4" t="s">
        <v>665</v>
      </c>
      <c r="V184" s="4" t="s">
        <v>666</v>
      </c>
      <c r="W184" s="4" t="s">
        <v>667</v>
      </c>
    </row>
    <row r="185" spans="1:26" ht="39.6" hidden="1">
      <c r="A185" s="22" t="s">
        <v>674</v>
      </c>
      <c r="B185" s="4" t="s">
        <v>675</v>
      </c>
      <c r="C185" s="4" t="s">
        <v>676</v>
      </c>
      <c r="D185" s="4" t="s">
        <v>677</v>
      </c>
      <c r="E185" s="4" t="s">
        <v>80</v>
      </c>
      <c r="F185" s="4" t="s">
        <v>678</v>
      </c>
      <c r="G185" s="5" t="s">
        <v>81</v>
      </c>
      <c r="H185" s="11" t="str">
        <f>_xlfn.IFNA(VLOOKUP(F185,clientes!A:B,2,FALSE()),"--")</f>
        <v>Instituto Geografico Militar</v>
      </c>
      <c r="I185" s="5" t="s">
        <v>33</v>
      </c>
      <c r="J185" s="12" t="s">
        <v>679</v>
      </c>
      <c r="L185" s="10" t="s">
        <v>124</v>
      </c>
      <c r="M185" s="4" t="s">
        <v>680</v>
      </c>
      <c r="N185" s="10" t="s">
        <v>136</v>
      </c>
      <c r="O185" s="4" t="s">
        <v>681</v>
      </c>
      <c r="P185" s="11" t="s">
        <v>35</v>
      </c>
      <c r="U185" s="48"/>
      <c r="V185" s="43" t="s">
        <v>682</v>
      </c>
      <c r="W185" s="43" t="s">
        <v>683</v>
      </c>
      <c r="Y185" s="43" t="s">
        <v>684</v>
      </c>
      <c r="Z185" s="71" t="s">
        <v>539</v>
      </c>
    </row>
    <row r="186" spans="1:26" ht="15.6" hidden="1" customHeight="1">
      <c r="A186" s="22" t="s">
        <v>685</v>
      </c>
      <c r="B186" s="4" t="s">
        <v>675</v>
      </c>
      <c r="C186" s="4" t="s">
        <v>686</v>
      </c>
      <c r="D186" s="4" t="s">
        <v>677</v>
      </c>
      <c r="E186" s="4" t="s">
        <v>60</v>
      </c>
      <c r="F186" s="4" t="s">
        <v>678</v>
      </c>
      <c r="G186" s="5" t="s">
        <v>61</v>
      </c>
      <c r="H186" s="11" t="str">
        <f>_xlfn.IFNA(VLOOKUP(F186,clientes!A:B,2,FALSE()),"--")</f>
        <v>Instituto Geografico Militar</v>
      </c>
      <c r="I186" s="5" t="s">
        <v>33</v>
      </c>
      <c r="J186" s="12" t="s">
        <v>679</v>
      </c>
      <c r="L186" s="10" t="s">
        <v>124</v>
      </c>
      <c r="M186" s="4" t="s">
        <v>680</v>
      </c>
      <c r="N186" s="10" t="s">
        <v>136</v>
      </c>
      <c r="O186" s="4" t="s">
        <v>681</v>
      </c>
      <c r="P186" s="11" t="s">
        <v>35</v>
      </c>
      <c r="V186" s="43" t="s">
        <v>682</v>
      </c>
      <c r="W186" s="43" t="s">
        <v>683</v>
      </c>
      <c r="Y186" s="43" t="s">
        <v>684</v>
      </c>
      <c r="Z186" s="71" t="s">
        <v>539</v>
      </c>
    </row>
    <row r="187" spans="1:26" ht="15.6" hidden="1" customHeight="1">
      <c r="A187" s="22" t="s">
        <v>687</v>
      </c>
      <c r="B187" s="4" t="s">
        <v>675</v>
      </c>
      <c r="C187" s="4" t="s">
        <v>688</v>
      </c>
      <c r="D187" s="4" t="s">
        <v>677</v>
      </c>
      <c r="E187" s="4" t="s">
        <v>68</v>
      </c>
      <c r="F187" s="4" t="s">
        <v>678</v>
      </c>
      <c r="G187" s="5" t="s">
        <v>70</v>
      </c>
      <c r="H187" s="11" t="str">
        <f>_xlfn.IFNA(VLOOKUP(F187,clientes!A:B,2,FALSE()),"--")</f>
        <v>Instituto Geografico Militar</v>
      </c>
      <c r="I187" s="5" t="s">
        <v>33</v>
      </c>
      <c r="J187" s="12" t="s">
        <v>679</v>
      </c>
      <c r="L187" s="10" t="s">
        <v>124</v>
      </c>
      <c r="M187" s="4" t="s">
        <v>680</v>
      </c>
      <c r="N187" s="10" t="s">
        <v>136</v>
      </c>
      <c r="O187" s="4" t="s">
        <v>681</v>
      </c>
      <c r="P187" s="11" t="s">
        <v>35</v>
      </c>
      <c r="V187" s="43" t="s">
        <v>682</v>
      </c>
      <c r="W187" s="43" t="s">
        <v>683</v>
      </c>
      <c r="Y187" s="43" t="s">
        <v>684</v>
      </c>
      <c r="Z187" s="71" t="s">
        <v>539</v>
      </c>
    </row>
    <row r="188" spans="1:26" ht="15.6" hidden="1" customHeight="1">
      <c r="A188" s="22" t="s">
        <v>689</v>
      </c>
      <c r="B188" s="4" t="s">
        <v>675</v>
      </c>
      <c r="C188" s="4" t="s">
        <v>690</v>
      </c>
      <c r="D188" s="4" t="s">
        <v>677</v>
      </c>
      <c r="E188" s="4" t="s">
        <v>691</v>
      </c>
      <c r="F188" s="4" t="s">
        <v>678</v>
      </c>
      <c r="G188" s="5" t="s">
        <v>50</v>
      </c>
      <c r="H188" s="11" t="str">
        <f>_xlfn.IFNA(VLOOKUP(F188,clientes!A:B,2,FALSE()),"--")</f>
        <v>Instituto Geografico Militar</v>
      </c>
      <c r="I188" s="5" t="s">
        <v>33</v>
      </c>
      <c r="J188" s="12" t="s">
        <v>679</v>
      </c>
      <c r="L188" s="10" t="s">
        <v>124</v>
      </c>
      <c r="M188" s="4" t="s">
        <v>680</v>
      </c>
      <c r="N188" s="10" t="s">
        <v>136</v>
      </c>
      <c r="O188" s="4" t="s">
        <v>681</v>
      </c>
      <c r="P188" s="11" t="s">
        <v>35</v>
      </c>
      <c r="V188" s="43" t="s">
        <v>682</v>
      </c>
      <c r="W188" s="43" t="s">
        <v>683</v>
      </c>
      <c r="Y188" s="43" t="s">
        <v>684</v>
      </c>
      <c r="Z188" s="71" t="s">
        <v>539</v>
      </c>
    </row>
    <row r="189" spans="1:26" ht="15.6" hidden="1" customHeight="1">
      <c r="A189" s="22" t="s">
        <v>692</v>
      </c>
      <c r="B189" s="4" t="s">
        <v>693</v>
      </c>
      <c r="C189" s="4" t="s">
        <v>694</v>
      </c>
      <c r="D189" s="4" t="s">
        <v>695</v>
      </c>
      <c r="E189" s="5" t="s">
        <v>68</v>
      </c>
      <c r="F189" s="4" t="s">
        <v>192</v>
      </c>
      <c r="G189" s="4" t="s">
        <v>70</v>
      </c>
      <c r="H189" s="11" t="str">
        <f>_xlfn.IFNA(VLOOKUP(F189,clientes!A:B,2,FALSE()),"--")</f>
        <v>Universidad Nacional de Colombia</v>
      </c>
      <c r="I189" s="5" t="s">
        <v>33</v>
      </c>
      <c r="L189" s="4" t="s">
        <v>53</v>
      </c>
      <c r="M189" s="4" t="s">
        <v>213</v>
      </c>
      <c r="N189" s="10" t="s">
        <v>136</v>
      </c>
      <c r="O189" s="4" t="s">
        <v>137</v>
      </c>
      <c r="P189" s="11" t="s">
        <v>35</v>
      </c>
      <c r="R189" s="22">
        <v>81090</v>
      </c>
      <c r="T189"/>
      <c r="U189" s="4" t="s">
        <v>38</v>
      </c>
      <c r="V189" s="4" t="s">
        <v>38</v>
      </c>
      <c r="W189" s="4" t="s">
        <v>38</v>
      </c>
    </row>
    <row r="190" spans="1:26" ht="39.6" hidden="1">
      <c r="A190" s="22" t="s">
        <v>696</v>
      </c>
      <c r="B190" s="4" t="s">
        <v>693</v>
      </c>
      <c r="C190" s="4" t="s">
        <v>697</v>
      </c>
      <c r="D190" s="4" t="s">
        <v>695</v>
      </c>
      <c r="E190" s="5" t="s">
        <v>68</v>
      </c>
      <c r="F190" s="4" t="s">
        <v>192</v>
      </c>
      <c r="G190" s="4" t="s">
        <v>70</v>
      </c>
      <c r="H190" s="11" t="str">
        <f>_xlfn.IFNA(VLOOKUP(F190,clientes!A:B,2,FALSE()),"--")</f>
        <v>Universidad Nacional de Colombia</v>
      </c>
      <c r="I190" s="5" t="s">
        <v>33</v>
      </c>
      <c r="L190" s="4" t="s">
        <v>53</v>
      </c>
      <c r="M190" s="4" t="s">
        <v>213</v>
      </c>
      <c r="N190" s="10" t="s">
        <v>136</v>
      </c>
      <c r="O190" s="4" t="s">
        <v>137</v>
      </c>
      <c r="P190" s="11" t="s">
        <v>35</v>
      </c>
      <c r="R190" s="22">
        <v>81091</v>
      </c>
      <c r="T190"/>
      <c r="U190" s="4" t="s">
        <v>38</v>
      </c>
      <c r="V190" s="4" t="s">
        <v>38</v>
      </c>
      <c r="W190" s="4" t="s">
        <v>38</v>
      </c>
    </row>
    <row r="191" spans="1:26" ht="39.6" hidden="1">
      <c r="A191" s="22" t="s">
        <v>698</v>
      </c>
      <c r="B191" s="4" t="s">
        <v>693</v>
      </c>
      <c r="C191" s="4" t="s">
        <v>699</v>
      </c>
      <c r="D191" s="4" t="s">
        <v>695</v>
      </c>
      <c r="E191" s="5" t="s">
        <v>68</v>
      </c>
      <c r="F191" s="4" t="s">
        <v>192</v>
      </c>
      <c r="G191" s="4" t="s">
        <v>70</v>
      </c>
      <c r="H191" s="11" t="str">
        <f>_xlfn.IFNA(VLOOKUP(F191,clientes!A:B,2,FALSE()),"--")</f>
        <v>Universidad Nacional de Colombia</v>
      </c>
      <c r="I191" s="5" t="s">
        <v>33</v>
      </c>
      <c r="L191" s="4" t="s">
        <v>53</v>
      </c>
      <c r="M191" s="4" t="s">
        <v>213</v>
      </c>
      <c r="N191" s="10" t="s">
        <v>136</v>
      </c>
      <c r="O191" s="4" t="s">
        <v>137</v>
      </c>
      <c r="P191" s="11" t="s">
        <v>35</v>
      </c>
      <c r="R191" s="22">
        <v>81092</v>
      </c>
      <c r="T191"/>
      <c r="U191" s="4" t="s">
        <v>38</v>
      </c>
      <c r="V191" s="4" t="s">
        <v>38</v>
      </c>
      <c r="W191" s="4" t="s">
        <v>38</v>
      </c>
    </row>
    <row r="192" spans="1:26" ht="118.9">
      <c r="A192" s="22" t="s">
        <v>700</v>
      </c>
      <c r="B192" s="4" t="s">
        <v>701</v>
      </c>
      <c r="C192" s="4" t="s">
        <v>702</v>
      </c>
      <c r="D192" s="4" t="s">
        <v>703</v>
      </c>
      <c r="E192" s="4" t="s">
        <v>80</v>
      </c>
      <c r="F192" s="4" t="s">
        <v>606</v>
      </c>
      <c r="G192" s="5" t="s">
        <v>81</v>
      </c>
      <c r="H192" s="11" t="str">
        <f>_xlfn.IFNA(VLOOKUP(F192,clientes!A:B,2,FALSE()),"--")</f>
        <v>La Administradora de los Recursos del Sistema General de Seguridad Social en Salud</v>
      </c>
      <c r="I192" s="5" t="s">
        <v>33</v>
      </c>
      <c r="K192" s="48" t="s">
        <v>704</v>
      </c>
      <c r="L192" s="4" t="s">
        <v>705</v>
      </c>
      <c r="M192" s="4" t="s">
        <v>135</v>
      </c>
      <c r="N192" s="4" t="s">
        <v>136</v>
      </c>
      <c r="O192" s="4" t="s">
        <v>241</v>
      </c>
      <c r="P192" s="11" t="s">
        <v>35</v>
      </c>
      <c r="R192" s="22">
        <v>2519</v>
      </c>
      <c r="U192" s="4" t="s">
        <v>706</v>
      </c>
      <c r="V192" s="4" t="s">
        <v>707</v>
      </c>
      <c r="W192" s="4" t="s">
        <v>708</v>
      </c>
    </row>
    <row r="193" spans="1:23" ht="118.9">
      <c r="A193" s="22" t="s">
        <v>709</v>
      </c>
      <c r="B193" s="4" t="s">
        <v>701</v>
      </c>
      <c r="C193" s="4" t="s">
        <v>710</v>
      </c>
      <c r="D193" s="4" t="s">
        <v>703</v>
      </c>
      <c r="E193" s="5" t="s">
        <v>68</v>
      </c>
      <c r="F193" s="4" t="s">
        <v>606</v>
      </c>
      <c r="G193" s="4" t="s">
        <v>70</v>
      </c>
      <c r="H193" s="11" t="str">
        <f>_xlfn.IFNA(VLOOKUP(F193,clientes!A:B,2,FALSE()),"--")</f>
        <v>La Administradora de los Recursos del Sistema General de Seguridad Social en Salud</v>
      </c>
      <c r="I193" s="5" t="s">
        <v>33</v>
      </c>
      <c r="K193" s="48" t="s">
        <v>704</v>
      </c>
      <c r="L193" s="4" t="s">
        <v>705</v>
      </c>
      <c r="N193" s="10" t="s">
        <v>136</v>
      </c>
      <c r="O193" s="4" t="s">
        <v>444</v>
      </c>
      <c r="P193" s="11" t="s">
        <v>35</v>
      </c>
      <c r="U193" s="4" t="s">
        <v>706</v>
      </c>
      <c r="V193" s="4" t="s">
        <v>707</v>
      </c>
      <c r="W193" s="4" t="s">
        <v>708</v>
      </c>
    </row>
    <row r="194" spans="1:23" ht="13.15" customHeight="1">
      <c r="A194" s="22" t="s">
        <v>711</v>
      </c>
      <c r="B194" s="4" t="s">
        <v>701</v>
      </c>
      <c r="C194" s="4" t="s">
        <v>712</v>
      </c>
      <c r="D194" s="4" t="s">
        <v>703</v>
      </c>
      <c r="E194" s="4" t="s">
        <v>691</v>
      </c>
      <c r="F194" s="4" t="s">
        <v>606</v>
      </c>
      <c r="G194" s="5" t="s">
        <v>50</v>
      </c>
      <c r="H194" s="11" t="str">
        <f>_xlfn.IFNA(VLOOKUP(F194,clientes!A:B,2,FALSE()),"--")</f>
        <v>La Administradora de los Recursos del Sistema General de Seguridad Social en Salud</v>
      </c>
      <c r="I194" s="5" t="s">
        <v>33</v>
      </c>
      <c r="K194" s="48" t="s">
        <v>704</v>
      </c>
      <c r="L194" s="4" t="s">
        <v>705</v>
      </c>
      <c r="N194" s="10" t="s">
        <v>136</v>
      </c>
      <c r="O194" s="4" t="s">
        <v>444</v>
      </c>
      <c r="P194" s="11" t="s">
        <v>35</v>
      </c>
      <c r="U194" s="4" t="s">
        <v>706</v>
      </c>
      <c r="V194" s="4" t="s">
        <v>707</v>
      </c>
      <c r="W194" s="4" t="s">
        <v>708</v>
      </c>
    </row>
    <row r="195" spans="1:23" ht="12.75" customHeight="1">
      <c r="A195" s="22" t="s">
        <v>713</v>
      </c>
      <c r="B195" s="4" t="s">
        <v>701</v>
      </c>
      <c r="C195" s="4" t="s">
        <v>714</v>
      </c>
      <c r="D195" s="4" t="s">
        <v>703</v>
      </c>
      <c r="E195" s="5" t="s">
        <v>347</v>
      </c>
      <c r="F195" s="4" t="s">
        <v>606</v>
      </c>
      <c r="G195" s="5" t="s">
        <v>61</v>
      </c>
      <c r="H195" s="11" t="str">
        <f>_xlfn.IFNA(VLOOKUP(F195,clientes!A:B,2,FALSE()),"--")</f>
        <v>La Administradora de los Recursos del Sistema General de Seguridad Social en Salud</v>
      </c>
      <c r="I195" s="5" t="s">
        <v>33</v>
      </c>
      <c r="L195" s="4" t="s">
        <v>705</v>
      </c>
      <c r="N195" s="10" t="s">
        <v>136</v>
      </c>
      <c r="O195" s="4" t="s">
        <v>444</v>
      </c>
      <c r="P195" s="11" t="s">
        <v>35</v>
      </c>
      <c r="U195" s="4" t="s">
        <v>706</v>
      </c>
      <c r="V195" s="4" t="s">
        <v>707</v>
      </c>
      <c r="W195" s="4" t="s">
        <v>708</v>
      </c>
    </row>
    <row r="196" spans="1:23" ht="13.15" hidden="1" customHeight="1">
      <c r="A196" s="22" t="s">
        <v>715</v>
      </c>
      <c r="B196" s="4" t="s">
        <v>716</v>
      </c>
      <c r="C196" s="4" t="s">
        <v>717</v>
      </c>
      <c r="D196" s="4" t="s">
        <v>718</v>
      </c>
      <c r="E196" s="4" t="s">
        <v>80</v>
      </c>
      <c r="F196" s="4" t="s">
        <v>606</v>
      </c>
      <c r="G196" s="5" t="s">
        <v>81</v>
      </c>
      <c r="H196" s="11" t="str">
        <f>_xlfn.IFNA(VLOOKUP(F196,clientes!A:B,2,FALSE()),"--")</f>
        <v>La Administradora de los Recursos del Sistema General de Seguridad Social en Salud</v>
      </c>
      <c r="I196" s="5" t="s">
        <v>33</v>
      </c>
      <c r="J196" s="48" t="s">
        <v>719</v>
      </c>
      <c r="K196" s="43" t="s">
        <v>720</v>
      </c>
      <c r="L196" s="4" t="s">
        <v>282</v>
      </c>
      <c r="M196" s="4" t="s">
        <v>135</v>
      </c>
      <c r="N196" s="10" t="s">
        <v>75</v>
      </c>
      <c r="O196" s="4" t="s">
        <v>721</v>
      </c>
      <c r="P196" s="11" t="s">
        <v>35</v>
      </c>
      <c r="R196" s="22">
        <v>87351</v>
      </c>
      <c r="U196" s="4" t="s">
        <v>38</v>
      </c>
      <c r="V196" s="4" t="s">
        <v>38</v>
      </c>
      <c r="W196" s="4" t="s">
        <v>38</v>
      </c>
    </row>
    <row r="197" spans="1:23" ht="12.75" hidden="1" customHeight="1">
      <c r="A197" s="22" t="s">
        <v>722</v>
      </c>
      <c r="B197" s="4" t="s">
        <v>716</v>
      </c>
      <c r="C197" s="4" t="s">
        <v>723</v>
      </c>
      <c r="D197" s="4" t="s">
        <v>718</v>
      </c>
      <c r="E197" s="5" t="s">
        <v>68</v>
      </c>
      <c r="F197" s="4" t="s">
        <v>606</v>
      </c>
      <c r="G197" s="4" t="s">
        <v>70</v>
      </c>
      <c r="H197" s="11" t="str">
        <f>_xlfn.IFNA(VLOOKUP(F197,clientes!A:B,2,FALSE()),"--")</f>
        <v>La Administradora de los Recursos del Sistema General de Seguridad Social en Salud</v>
      </c>
      <c r="I197" s="5" t="s">
        <v>33</v>
      </c>
      <c r="J197" s="48" t="s">
        <v>719</v>
      </c>
      <c r="K197" s="43" t="s">
        <v>720</v>
      </c>
      <c r="L197" s="4" t="s">
        <v>282</v>
      </c>
      <c r="M197" s="4" t="s">
        <v>135</v>
      </c>
      <c r="N197" s="10" t="s">
        <v>75</v>
      </c>
      <c r="O197" s="4" t="s">
        <v>721</v>
      </c>
      <c r="P197" s="11" t="s">
        <v>35</v>
      </c>
      <c r="R197" s="22">
        <v>87451</v>
      </c>
      <c r="U197" s="4" t="s">
        <v>38</v>
      </c>
      <c r="V197" s="4" t="s">
        <v>38</v>
      </c>
      <c r="W197" s="4" t="s">
        <v>38</v>
      </c>
    </row>
    <row r="198" spans="1:23" ht="12.75" hidden="1" customHeight="1">
      <c r="A198" s="22" t="s">
        <v>724</v>
      </c>
      <c r="B198" s="4" t="s">
        <v>716</v>
      </c>
      <c r="C198" s="4" t="s">
        <v>725</v>
      </c>
      <c r="D198" s="4" t="s">
        <v>718</v>
      </c>
      <c r="E198" s="4" t="s">
        <v>60</v>
      </c>
      <c r="F198" s="4" t="s">
        <v>606</v>
      </c>
      <c r="G198" s="5" t="s">
        <v>61</v>
      </c>
      <c r="H198" s="11" t="str">
        <f>_xlfn.IFNA(VLOOKUP(F198,clientes!A:B,2,FALSE()),"--")</f>
        <v>La Administradora de los Recursos del Sistema General de Seguridad Social en Salud</v>
      </c>
      <c r="I198" s="5" t="s">
        <v>33</v>
      </c>
      <c r="J198" s="48" t="s">
        <v>719</v>
      </c>
      <c r="K198" s="43" t="s">
        <v>720</v>
      </c>
      <c r="L198" s="4" t="s">
        <v>282</v>
      </c>
      <c r="M198" s="4" t="s">
        <v>135</v>
      </c>
      <c r="N198" s="10" t="s">
        <v>75</v>
      </c>
      <c r="O198" s="4" t="s">
        <v>721</v>
      </c>
      <c r="P198" s="11" t="s">
        <v>35</v>
      </c>
      <c r="R198" s="22">
        <v>87452</v>
      </c>
      <c r="U198" s="4" t="s">
        <v>38</v>
      </c>
      <c r="V198" s="4" t="s">
        <v>38</v>
      </c>
      <c r="W198" s="4" t="s">
        <v>38</v>
      </c>
    </row>
    <row r="199" spans="1:23" ht="12.75" hidden="1" customHeight="1">
      <c r="A199" s="22" t="s">
        <v>726</v>
      </c>
      <c r="B199" s="4" t="s">
        <v>716</v>
      </c>
      <c r="C199" s="4" t="s">
        <v>727</v>
      </c>
      <c r="D199" s="4" t="s">
        <v>718</v>
      </c>
      <c r="E199" s="5" t="s">
        <v>347</v>
      </c>
      <c r="F199" s="4" t="s">
        <v>606</v>
      </c>
      <c r="G199" s="5" t="s">
        <v>61</v>
      </c>
      <c r="H199" s="11" t="str">
        <f>_xlfn.IFNA(VLOOKUP(F199,clientes!A:B,2,FALSE()),"--")</f>
        <v>La Administradora de los Recursos del Sistema General de Seguridad Social en Salud</v>
      </c>
      <c r="I199" s="5" t="s">
        <v>33</v>
      </c>
      <c r="J199" s="48" t="s">
        <v>719</v>
      </c>
      <c r="K199" s="43" t="s">
        <v>720</v>
      </c>
      <c r="L199" s="4" t="s">
        <v>282</v>
      </c>
      <c r="M199" s="4" t="s">
        <v>135</v>
      </c>
      <c r="N199" s="10" t="s">
        <v>75</v>
      </c>
      <c r="O199" s="4" t="s">
        <v>721</v>
      </c>
      <c r="P199" s="11" t="s">
        <v>35</v>
      </c>
      <c r="R199" s="22">
        <v>87454</v>
      </c>
      <c r="U199" s="4" t="s">
        <v>38</v>
      </c>
      <c r="V199" s="4" t="s">
        <v>38</v>
      </c>
      <c r="W199" s="4" t="s">
        <v>38</v>
      </c>
    </row>
    <row r="200" spans="1:23" ht="12.75" hidden="1" customHeight="1">
      <c r="A200" s="22" t="s">
        <v>728</v>
      </c>
      <c r="B200" s="4" t="s">
        <v>716</v>
      </c>
      <c r="C200" s="4" t="s">
        <v>729</v>
      </c>
      <c r="D200" s="4" t="s">
        <v>718</v>
      </c>
      <c r="E200" s="4" t="s">
        <v>691</v>
      </c>
      <c r="F200" s="4" t="s">
        <v>606</v>
      </c>
      <c r="G200" s="5" t="s">
        <v>50</v>
      </c>
      <c r="H200" s="11" t="str">
        <f>_xlfn.IFNA(VLOOKUP(F200,clientes!A:B,2,FALSE()),"--")</f>
        <v>La Administradora de los Recursos del Sistema General de Seguridad Social en Salud</v>
      </c>
      <c r="I200" s="5" t="s">
        <v>33</v>
      </c>
      <c r="J200" s="48" t="s">
        <v>719</v>
      </c>
      <c r="K200" s="43" t="s">
        <v>720</v>
      </c>
      <c r="L200" s="4" t="s">
        <v>282</v>
      </c>
      <c r="M200" s="4" t="s">
        <v>135</v>
      </c>
      <c r="N200" s="10" t="s">
        <v>75</v>
      </c>
      <c r="O200" s="4" t="s">
        <v>721</v>
      </c>
      <c r="P200" s="11" t="s">
        <v>35</v>
      </c>
      <c r="R200" s="22">
        <v>87453</v>
      </c>
      <c r="U200" s="4" t="s">
        <v>38</v>
      </c>
      <c r="V200" s="4" t="s">
        <v>38</v>
      </c>
      <c r="W200" s="4" t="s">
        <v>38</v>
      </c>
    </row>
    <row r="201" spans="1:23" ht="12.75" hidden="1" customHeight="1">
      <c r="A201" s="22" t="s">
        <v>730</v>
      </c>
      <c r="B201" s="4" t="s">
        <v>731</v>
      </c>
      <c r="C201" s="11" t="str">
        <f>F201&amp;" - "&amp;D201&amp;" - "&amp;E201</f>
        <v>ACA - Hacienda a un Click - Fixed</v>
      </c>
      <c r="D201" s="4" t="s">
        <v>732</v>
      </c>
      <c r="E201" s="4" t="s">
        <v>80</v>
      </c>
      <c r="F201" s="4" t="s">
        <v>69</v>
      </c>
      <c r="G201" s="5" t="s">
        <v>81</v>
      </c>
      <c r="H201" s="11" t="str">
        <f>_xlfn.IFNA(VLOOKUP(F201,clientes!A:B,2,FALSE()),"--")</f>
        <v>Alcaldia de Cali</v>
      </c>
      <c r="I201" s="5" t="s">
        <v>33</v>
      </c>
      <c r="J201" s="12" t="s">
        <v>72</v>
      </c>
      <c r="K201" s="48" t="s">
        <v>733</v>
      </c>
      <c r="L201" s="10" t="s">
        <v>73</v>
      </c>
      <c r="M201" s="10" t="s">
        <v>180</v>
      </c>
      <c r="N201" s="52" t="s">
        <v>75</v>
      </c>
      <c r="O201" s="4" t="s">
        <v>397</v>
      </c>
      <c r="P201" s="11" t="s">
        <v>35</v>
      </c>
      <c r="Q201" s="11"/>
      <c r="U201" s="4" t="s">
        <v>38</v>
      </c>
      <c r="V201" s="4" t="s">
        <v>38</v>
      </c>
      <c r="W201" s="4" t="s">
        <v>38</v>
      </c>
    </row>
    <row r="202" spans="1:23" ht="12.75" hidden="1" customHeight="1">
      <c r="A202" s="22" t="s">
        <v>734</v>
      </c>
      <c r="B202" s="4" t="s">
        <v>731</v>
      </c>
      <c r="C202" s="11" t="str">
        <f>F202&amp;" - "&amp;D202&amp;" - "&amp;E202</f>
        <v>ACA - Hacienda a un Click - Ret</v>
      </c>
      <c r="D202" s="4" t="s">
        <v>732</v>
      </c>
      <c r="E202" s="4" t="s">
        <v>60</v>
      </c>
      <c r="F202" s="4" t="s">
        <v>69</v>
      </c>
      <c r="G202" s="5" t="s">
        <v>61</v>
      </c>
      <c r="H202" s="11" t="str">
        <f>_xlfn.IFNA(VLOOKUP(F202,clientes!A:B,2,FALSE()),"--")</f>
        <v>Alcaldia de Cali</v>
      </c>
      <c r="I202" s="5" t="s">
        <v>33</v>
      </c>
      <c r="J202" s="12" t="s">
        <v>72</v>
      </c>
      <c r="K202" s="48" t="s">
        <v>733</v>
      </c>
      <c r="L202" s="10" t="s">
        <v>73</v>
      </c>
      <c r="M202" s="10" t="s">
        <v>180</v>
      </c>
      <c r="N202" s="52" t="s">
        <v>75</v>
      </c>
      <c r="O202" s="4" t="s">
        <v>397</v>
      </c>
      <c r="P202" s="11" t="s">
        <v>35</v>
      </c>
      <c r="Q202" s="11"/>
      <c r="U202" s="4" t="s">
        <v>38</v>
      </c>
      <c r="V202" s="4" t="s">
        <v>38</v>
      </c>
      <c r="W202" s="4" t="s">
        <v>38</v>
      </c>
    </row>
    <row r="203" spans="1:23" ht="12.75" hidden="1" customHeight="1">
      <c r="A203" s="22" t="s">
        <v>735</v>
      </c>
      <c r="B203" s="4" t="s">
        <v>731</v>
      </c>
      <c r="C203" s="11" t="str">
        <f>F203&amp;" - "&amp;D203&amp;" - "&amp;E203</f>
        <v>ACA - Hacienda a un Click - Ret SW</v>
      </c>
      <c r="D203" s="4" t="s">
        <v>732</v>
      </c>
      <c r="E203" s="4" t="s">
        <v>48</v>
      </c>
      <c r="F203" s="4" t="s">
        <v>69</v>
      </c>
      <c r="G203" s="5" t="s">
        <v>50</v>
      </c>
      <c r="H203" s="11" t="str">
        <f>_xlfn.IFNA(VLOOKUP(F203,clientes!A:B,2,FALSE()),"--")</f>
        <v>Alcaldia de Cali</v>
      </c>
      <c r="I203" s="5" t="s">
        <v>33</v>
      </c>
      <c r="J203" s="12" t="s">
        <v>72</v>
      </c>
      <c r="K203" s="48" t="s">
        <v>733</v>
      </c>
      <c r="L203" s="10" t="s">
        <v>73</v>
      </c>
      <c r="M203" s="10" t="s">
        <v>180</v>
      </c>
      <c r="N203" s="52" t="s">
        <v>75</v>
      </c>
      <c r="O203" s="4" t="s">
        <v>397</v>
      </c>
      <c r="P203" s="11" t="s">
        <v>35</v>
      </c>
      <c r="Q203" s="11"/>
      <c r="U203" s="4" t="s">
        <v>38</v>
      </c>
      <c r="V203" s="4" t="s">
        <v>38</v>
      </c>
      <c r="W203" s="4" t="s">
        <v>38</v>
      </c>
    </row>
    <row r="204" spans="1:23" ht="12.75" hidden="1" customHeight="1">
      <c r="A204" s="22" t="s">
        <v>736</v>
      </c>
      <c r="B204" s="4" t="s">
        <v>731</v>
      </c>
      <c r="C204" s="11" t="str">
        <f>F204&amp;" - "&amp;D204&amp;" - "&amp;E204</f>
        <v>ACA - Hacienda a un Click - Ret Other Vendors</v>
      </c>
      <c r="D204" s="4" t="s">
        <v>732</v>
      </c>
      <c r="E204" s="5" t="s">
        <v>347</v>
      </c>
      <c r="F204" s="4" t="s">
        <v>69</v>
      </c>
      <c r="G204" s="5" t="s">
        <v>61</v>
      </c>
      <c r="H204" s="11" t="str">
        <f>_xlfn.IFNA(VLOOKUP(F204,clientes!A:B,2,FALSE()),"--")</f>
        <v>Alcaldia de Cali</v>
      </c>
      <c r="I204" s="5" t="s">
        <v>33</v>
      </c>
      <c r="J204" s="12" t="s">
        <v>72</v>
      </c>
      <c r="K204" s="48" t="s">
        <v>733</v>
      </c>
      <c r="L204" s="10" t="s">
        <v>73</v>
      </c>
      <c r="M204" s="10" t="s">
        <v>180</v>
      </c>
      <c r="N204" s="52" t="s">
        <v>75</v>
      </c>
      <c r="O204" s="4" t="s">
        <v>397</v>
      </c>
      <c r="P204" s="11" t="s">
        <v>35</v>
      </c>
      <c r="Q204" s="11"/>
      <c r="U204" s="4" t="s">
        <v>38</v>
      </c>
      <c r="V204" s="4" t="s">
        <v>38</v>
      </c>
      <c r="W204" s="4" t="s">
        <v>38</v>
      </c>
    </row>
    <row r="205" spans="1:23" ht="12.75" hidden="1" customHeight="1">
      <c r="A205" s="22" t="s">
        <v>737</v>
      </c>
      <c r="B205" s="4" t="s">
        <v>738</v>
      </c>
      <c r="C205" s="59" t="s">
        <v>739</v>
      </c>
      <c r="D205" s="4" t="s">
        <v>740</v>
      </c>
      <c r="E205" s="4" t="s">
        <v>80</v>
      </c>
      <c r="F205" s="4" t="s">
        <v>253</v>
      </c>
      <c r="G205" s="5" t="s">
        <v>81</v>
      </c>
      <c r="H205" s="11" t="s">
        <v>741</v>
      </c>
      <c r="I205" s="5" t="s">
        <v>71</v>
      </c>
      <c r="K205" s="53" t="s">
        <v>742</v>
      </c>
      <c r="L205" s="10" t="s">
        <v>134</v>
      </c>
      <c r="M205" s="4" t="s">
        <v>135</v>
      </c>
      <c r="N205" s="10" t="s">
        <v>136</v>
      </c>
      <c r="O205" s="4" t="s">
        <v>137</v>
      </c>
      <c r="P205" s="11" t="s">
        <v>35</v>
      </c>
      <c r="R205" s="22">
        <v>2595</v>
      </c>
      <c r="U205" s="4" t="s">
        <v>743</v>
      </c>
      <c r="V205" s="4" t="s">
        <v>744</v>
      </c>
      <c r="W205" s="4" t="s">
        <v>745</v>
      </c>
    </row>
    <row r="206" spans="1:23" ht="12.75" hidden="1" customHeight="1">
      <c r="A206" s="22" t="s">
        <v>746</v>
      </c>
      <c r="B206" s="4" t="s">
        <v>738</v>
      </c>
      <c r="C206" s="59" t="s">
        <v>739</v>
      </c>
      <c r="D206" s="4" t="s">
        <v>740</v>
      </c>
      <c r="E206" s="4" t="s">
        <v>60</v>
      </c>
      <c r="F206" s="4" t="s">
        <v>253</v>
      </c>
      <c r="G206" s="5" t="s">
        <v>61</v>
      </c>
      <c r="H206" s="11" t="s">
        <v>741</v>
      </c>
      <c r="I206" s="5" t="s">
        <v>71</v>
      </c>
      <c r="K206" s="53" t="s">
        <v>742</v>
      </c>
      <c r="L206" s="10" t="s">
        <v>134</v>
      </c>
      <c r="M206" s="4" t="s">
        <v>135</v>
      </c>
      <c r="N206" s="10" t="s">
        <v>136</v>
      </c>
      <c r="O206" s="4" t="s">
        <v>137</v>
      </c>
      <c r="P206" s="11" t="s">
        <v>35</v>
      </c>
      <c r="R206" s="22">
        <v>2596</v>
      </c>
      <c r="U206" s="4" t="s">
        <v>743</v>
      </c>
      <c r="V206" s="4" t="s">
        <v>744</v>
      </c>
      <c r="W206" s="4" t="s">
        <v>745</v>
      </c>
    </row>
    <row r="207" spans="1:23" ht="12.75" hidden="1" customHeight="1">
      <c r="A207" s="22" t="s">
        <v>747</v>
      </c>
      <c r="B207" s="4" t="s">
        <v>738</v>
      </c>
      <c r="C207" s="59" t="s">
        <v>739</v>
      </c>
      <c r="D207" s="4" t="s">
        <v>740</v>
      </c>
      <c r="E207" s="5" t="s">
        <v>347</v>
      </c>
      <c r="F207" s="4" t="s">
        <v>253</v>
      </c>
      <c r="G207" s="5" t="s">
        <v>61</v>
      </c>
      <c r="H207" s="11" t="s">
        <v>741</v>
      </c>
      <c r="I207" s="5" t="s">
        <v>71</v>
      </c>
      <c r="K207" s="53" t="s">
        <v>742</v>
      </c>
      <c r="L207" s="10" t="s">
        <v>134</v>
      </c>
      <c r="M207" s="4" t="s">
        <v>135</v>
      </c>
      <c r="N207" s="10" t="s">
        <v>136</v>
      </c>
      <c r="O207" s="4" t="s">
        <v>137</v>
      </c>
      <c r="P207" s="11" t="s">
        <v>35</v>
      </c>
      <c r="R207" s="22">
        <v>2597</v>
      </c>
      <c r="U207" s="4" t="s">
        <v>743</v>
      </c>
      <c r="V207" s="4" t="s">
        <v>744</v>
      </c>
      <c r="W207" s="4" t="s">
        <v>745</v>
      </c>
    </row>
    <row r="208" spans="1:23" ht="12.75" hidden="1" customHeight="1">
      <c r="A208" s="22" t="s">
        <v>748</v>
      </c>
      <c r="B208" s="4" t="s">
        <v>738</v>
      </c>
      <c r="C208" s="59" t="s">
        <v>739</v>
      </c>
      <c r="D208" s="4" t="s">
        <v>740</v>
      </c>
      <c r="E208" s="5" t="s">
        <v>68</v>
      </c>
      <c r="F208" s="4" t="s">
        <v>253</v>
      </c>
      <c r="G208" s="4" t="s">
        <v>70</v>
      </c>
      <c r="H208" s="11" t="s">
        <v>741</v>
      </c>
      <c r="I208" s="5" t="s">
        <v>71</v>
      </c>
      <c r="K208" s="53" t="s">
        <v>742</v>
      </c>
      <c r="L208" s="10" t="s">
        <v>134</v>
      </c>
      <c r="M208" s="4" t="s">
        <v>135</v>
      </c>
      <c r="N208" s="10" t="s">
        <v>136</v>
      </c>
      <c r="O208" s="4" t="s">
        <v>137</v>
      </c>
      <c r="P208" s="11" t="s">
        <v>35</v>
      </c>
      <c r="R208" s="22">
        <v>2598</v>
      </c>
      <c r="U208" s="4" t="s">
        <v>743</v>
      </c>
      <c r="V208" s="4" t="s">
        <v>744</v>
      </c>
      <c r="W208" s="4" t="s">
        <v>745</v>
      </c>
    </row>
    <row r="209" spans="1:26" ht="12.75" hidden="1" customHeight="1">
      <c r="A209" s="22" t="s">
        <v>749</v>
      </c>
      <c r="B209" s="4" t="s">
        <v>750</v>
      </c>
      <c r="C209" s="59" t="s">
        <v>751</v>
      </c>
      <c r="D209" s="4" t="s">
        <v>752</v>
      </c>
      <c r="E209" s="4" t="s">
        <v>60</v>
      </c>
      <c r="F209" s="4" t="s">
        <v>253</v>
      </c>
      <c r="G209" s="5" t="s">
        <v>61</v>
      </c>
      <c r="H209" s="11" t="s">
        <v>741</v>
      </c>
      <c r="I209" s="5" t="s">
        <v>71</v>
      </c>
      <c r="K209" s="48" t="s">
        <v>753</v>
      </c>
      <c r="L209" s="10" t="s">
        <v>134</v>
      </c>
      <c r="M209" s="4" t="s">
        <v>135</v>
      </c>
      <c r="N209" s="10" t="s">
        <v>136</v>
      </c>
      <c r="O209" s="4" t="s">
        <v>137</v>
      </c>
      <c r="P209" s="11" t="s">
        <v>35</v>
      </c>
      <c r="R209" s="22">
        <v>2620</v>
      </c>
      <c r="U209" s="4" t="s">
        <v>754</v>
      </c>
      <c r="V209" s="4" t="s">
        <v>755</v>
      </c>
      <c r="W209" s="4" t="s">
        <v>756</v>
      </c>
    </row>
    <row r="210" spans="1:26" ht="12.75" hidden="1" customHeight="1">
      <c r="A210" s="22" t="s">
        <v>757</v>
      </c>
      <c r="B210" s="4" t="s">
        <v>750</v>
      </c>
      <c r="C210" s="59" t="s">
        <v>751</v>
      </c>
      <c r="D210" s="4" t="s">
        <v>752</v>
      </c>
      <c r="E210" s="5" t="s">
        <v>68</v>
      </c>
      <c r="F210" s="4" t="s">
        <v>253</v>
      </c>
      <c r="G210" s="4" t="s">
        <v>70</v>
      </c>
      <c r="H210" s="11" t="s">
        <v>741</v>
      </c>
      <c r="I210" s="5" t="s">
        <v>71</v>
      </c>
      <c r="K210" s="48" t="s">
        <v>753</v>
      </c>
      <c r="L210" s="10" t="s">
        <v>134</v>
      </c>
      <c r="M210" s="4" t="s">
        <v>135</v>
      </c>
      <c r="N210" s="10" t="s">
        <v>136</v>
      </c>
      <c r="O210" s="4" t="s">
        <v>137</v>
      </c>
      <c r="P210" s="11" t="s">
        <v>35</v>
      </c>
      <c r="R210" s="22">
        <v>2621</v>
      </c>
      <c r="U210" s="4" t="s">
        <v>754</v>
      </c>
      <c r="V210" s="4" t="s">
        <v>755</v>
      </c>
      <c r="W210" s="4" t="s">
        <v>756</v>
      </c>
    </row>
    <row r="211" spans="1:26" ht="12.75" hidden="1" customHeight="1">
      <c r="A211" s="22" t="s">
        <v>758</v>
      </c>
      <c r="B211" s="4" t="s">
        <v>750</v>
      </c>
      <c r="C211" s="59" t="s">
        <v>751</v>
      </c>
      <c r="D211" s="4" t="s">
        <v>752</v>
      </c>
      <c r="E211" s="5" t="s">
        <v>347</v>
      </c>
      <c r="F211" s="4" t="s">
        <v>253</v>
      </c>
      <c r="G211" s="5" t="s">
        <v>61</v>
      </c>
      <c r="H211" s="11" t="s">
        <v>741</v>
      </c>
      <c r="I211" s="5" t="s">
        <v>33</v>
      </c>
      <c r="K211" s="48" t="s">
        <v>753</v>
      </c>
      <c r="L211" s="10" t="s">
        <v>134</v>
      </c>
      <c r="M211" s="4" t="s">
        <v>135</v>
      </c>
      <c r="N211" s="10" t="s">
        <v>136</v>
      </c>
      <c r="O211" s="4" t="s">
        <v>137</v>
      </c>
      <c r="P211" s="11" t="s">
        <v>35</v>
      </c>
      <c r="R211" s="22">
        <v>2622</v>
      </c>
      <c r="U211" s="4" t="s">
        <v>754</v>
      </c>
      <c r="V211" s="4" t="s">
        <v>755</v>
      </c>
      <c r="W211" s="4" t="s">
        <v>756</v>
      </c>
    </row>
    <row r="212" spans="1:26" ht="12.75" hidden="1" customHeight="1">
      <c r="A212" s="22" t="s">
        <v>759</v>
      </c>
      <c r="B212" s="4" t="s">
        <v>760</v>
      </c>
      <c r="C212" s="59" t="s">
        <v>761</v>
      </c>
      <c r="D212" s="4" t="s">
        <v>762</v>
      </c>
      <c r="E212" s="5" t="s">
        <v>68</v>
      </c>
      <c r="F212" s="4" t="s">
        <v>253</v>
      </c>
      <c r="G212" s="4" t="s">
        <v>70</v>
      </c>
      <c r="H212" s="11" t="s">
        <v>741</v>
      </c>
      <c r="I212" s="5" t="s">
        <v>71</v>
      </c>
      <c r="K212" s="48" t="s">
        <v>763</v>
      </c>
      <c r="L212" s="10" t="s">
        <v>134</v>
      </c>
      <c r="M212" s="4" t="s">
        <v>135</v>
      </c>
      <c r="N212" s="4" t="s">
        <v>201</v>
      </c>
      <c r="O212" s="4" t="s">
        <v>256</v>
      </c>
      <c r="P212" s="11" t="s">
        <v>35</v>
      </c>
      <c r="R212" s="22">
        <v>2640</v>
      </c>
      <c r="U212" s="4" t="s">
        <v>764</v>
      </c>
      <c r="V212" s="4" t="s">
        <v>765</v>
      </c>
      <c r="W212" s="4" t="s">
        <v>766</v>
      </c>
    </row>
    <row r="213" spans="1:26" ht="12.75" hidden="1" customHeight="1">
      <c r="A213" s="22" t="s">
        <v>767</v>
      </c>
      <c r="B213" s="4" t="s">
        <v>760</v>
      </c>
      <c r="C213" s="59" t="s">
        <v>761</v>
      </c>
      <c r="D213" s="4" t="s">
        <v>762</v>
      </c>
      <c r="E213" s="4" t="s">
        <v>80</v>
      </c>
      <c r="F213" s="4" t="s">
        <v>253</v>
      </c>
      <c r="G213" s="5" t="s">
        <v>81</v>
      </c>
      <c r="H213" s="11" t="s">
        <v>741</v>
      </c>
      <c r="I213" s="5" t="s">
        <v>71</v>
      </c>
      <c r="K213" s="48" t="s">
        <v>763</v>
      </c>
      <c r="L213" s="10" t="s">
        <v>134</v>
      </c>
      <c r="M213" s="4" t="s">
        <v>135</v>
      </c>
      <c r="N213" s="4" t="s">
        <v>201</v>
      </c>
      <c r="O213" s="4" t="s">
        <v>256</v>
      </c>
      <c r="P213" s="11" t="s">
        <v>35</v>
      </c>
      <c r="R213" s="22">
        <v>2641</v>
      </c>
      <c r="U213" s="4" t="s">
        <v>764</v>
      </c>
      <c r="V213" s="4" t="s">
        <v>765</v>
      </c>
      <c r="W213" s="4" t="s">
        <v>766</v>
      </c>
    </row>
    <row r="214" spans="1:26" ht="12.75" hidden="1" customHeight="1">
      <c r="A214" s="22" t="s">
        <v>768</v>
      </c>
      <c r="B214" s="4" t="s">
        <v>760</v>
      </c>
      <c r="C214" s="59" t="s">
        <v>761</v>
      </c>
      <c r="D214" s="4" t="s">
        <v>762</v>
      </c>
      <c r="E214" s="4" t="s">
        <v>60</v>
      </c>
      <c r="F214" s="4" t="s">
        <v>253</v>
      </c>
      <c r="G214" s="5" t="s">
        <v>61</v>
      </c>
      <c r="H214" s="11" t="s">
        <v>741</v>
      </c>
      <c r="I214" s="5" t="s">
        <v>71</v>
      </c>
      <c r="K214" s="48" t="s">
        <v>763</v>
      </c>
      <c r="L214" s="10" t="s">
        <v>134</v>
      </c>
      <c r="M214" s="4" t="s">
        <v>135</v>
      </c>
      <c r="N214" s="4" t="s">
        <v>201</v>
      </c>
      <c r="O214" s="4" t="s">
        <v>256</v>
      </c>
      <c r="P214" s="11" t="s">
        <v>35</v>
      </c>
      <c r="R214" s="22">
        <v>2642</v>
      </c>
      <c r="U214" s="4" t="s">
        <v>764</v>
      </c>
      <c r="V214" s="4" t="s">
        <v>765</v>
      </c>
      <c r="W214" s="4" t="s">
        <v>766</v>
      </c>
    </row>
    <row r="215" spans="1:26" ht="12.75" hidden="1" customHeight="1">
      <c r="A215" s="22" t="s">
        <v>769</v>
      </c>
      <c r="B215" s="4" t="s">
        <v>760</v>
      </c>
      <c r="C215" s="59" t="s">
        <v>761</v>
      </c>
      <c r="D215" s="4" t="s">
        <v>762</v>
      </c>
      <c r="E215" s="5" t="s">
        <v>347</v>
      </c>
      <c r="F215" s="4" t="s">
        <v>253</v>
      </c>
      <c r="G215" s="5" t="s">
        <v>61</v>
      </c>
      <c r="H215" s="11" t="s">
        <v>741</v>
      </c>
      <c r="I215" s="5" t="s">
        <v>71</v>
      </c>
      <c r="K215" s="48" t="s">
        <v>763</v>
      </c>
      <c r="L215" s="10" t="s">
        <v>134</v>
      </c>
      <c r="M215" s="4" t="s">
        <v>135</v>
      </c>
      <c r="N215" s="4" t="s">
        <v>201</v>
      </c>
      <c r="O215" s="4" t="s">
        <v>256</v>
      </c>
      <c r="P215" s="11" t="s">
        <v>35</v>
      </c>
      <c r="R215" s="22">
        <v>2643</v>
      </c>
      <c r="U215" s="4" t="s">
        <v>764</v>
      </c>
      <c r="V215" s="4" t="s">
        <v>765</v>
      </c>
      <c r="W215" s="4" t="s">
        <v>766</v>
      </c>
    </row>
    <row r="216" spans="1:26" ht="12.75" hidden="1" customHeight="1">
      <c r="A216" s="22" t="s">
        <v>770</v>
      </c>
      <c r="B216" s="4" t="s">
        <v>760</v>
      </c>
      <c r="C216" s="59" t="s">
        <v>761</v>
      </c>
      <c r="D216" s="4" t="s">
        <v>762</v>
      </c>
      <c r="E216" s="4" t="s">
        <v>48</v>
      </c>
      <c r="F216" s="4" t="s">
        <v>253</v>
      </c>
      <c r="G216" s="5" t="s">
        <v>50</v>
      </c>
      <c r="H216" s="11" t="s">
        <v>741</v>
      </c>
      <c r="I216" s="5" t="s">
        <v>71</v>
      </c>
      <c r="K216" s="48" t="s">
        <v>763</v>
      </c>
      <c r="L216" s="10" t="s">
        <v>134</v>
      </c>
      <c r="M216" s="4" t="s">
        <v>135</v>
      </c>
      <c r="N216" s="4" t="s">
        <v>201</v>
      </c>
      <c r="O216" s="4" t="s">
        <v>256</v>
      </c>
      <c r="P216" s="11" t="s">
        <v>35</v>
      </c>
      <c r="R216" s="22">
        <v>2646</v>
      </c>
      <c r="U216" s="4" t="s">
        <v>764</v>
      </c>
      <c r="V216" s="4" t="s">
        <v>765</v>
      </c>
      <c r="W216" s="4" t="s">
        <v>766</v>
      </c>
    </row>
    <row r="217" spans="1:26" ht="12.75" hidden="1" customHeight="1">
      <c r="A217" s="22" t="s">
        <v>771</v>
      </c>
      <c r="B217" s="4" t="s">
        <v>772</v>
      </c>
      <c r="C217" s="11" t="str">
        <f>F217&amp;" - "&amp;D217&amp;" - "&amp;E217</f>
        <v>UDS - Servicios Profesionales - Fixed</v>
      </c>
      <c r="D217" s="4" t="s">
        <v>773</v>
      </c>
      <c r="E217" s="4" t="s">
        <v>80</v>
      </c>
      <c r="F217" s="5" t="s">
        <v>774</v>
      </c>
      <c r="G217" s="5" t="s">
        <v>81</v>
      </c>
      <c r="H217" s="11" t="s">
        <v>775</v>
      </c>
      <c r="I217" s="5" t="s">
        <v>33</v>
      </c>
      <c r="J217" s="43" t="s">
        <v>776</v>
      </c>
      <c r="K217" s="43" t="s">
        <v>342</v>
      </c>
      <c r="L217" s="4" t="s">
        <v>315</v>
      </c>
      <c r="M217" s="4" t="s">
        <v>213</v>
      </c>
      <c r="N217" s="4" t="s">
        <v>55</v>
      </c>
      <c r="O217" s="4" t="s">
        <v>777</v>
      </c>
      <c r="P217" s="11" t="s">
        <v>35</v>
      </c>
      <c r="R217" s="22">
        <v>2638</v>
      </c>
      <c r="T217" s="4" t="s">
        <v>426</v>
      </c>
      <c r="U217" s="48" t="s">
        <v>778</v>
      </c>
      <c r="V217" s="43" t="s">
        <v>779</v>
      </c>
      <c r="W217" s="43" t="s">
        <v>780</v>
      </c>
      <c r="Y217" s="43" t="s">
        <v>781</v>
      </c>
      <c r="Z217" s="43" t="s">
        <v>539</v>
      </c>
    </row>
    <row r="218" spans="1:26" ht="12.75" hidden="1" customHeight="1">
      <c r="A218" s="22" t="s">
        <v>782</v>
      </c>
      <c r="B218" s="4" t="s">
        <v>783</v>
      </c>
      <c r="C218" s="4" t="s">
        <v>784</v>
      </c>
      <c r="D218" s="4" t="s">
        <v>785</v>
      </c>
      <c r="E218" s="5" t="s">
        <v>68</v>
      </c>
      <c r="F218" s="4" t="s">
        <v>192</v>
      </c>
      <c r="G218" s="4" t="s">
        <v>70</v>
      </c>
      <c r="H218" s="12" t="s">
        <v>786</v>
      </c>
      <c r="I218" s="5" t="s">
        <v>33</v>
      </c>
      <c r="L218" s="4" t="s">
        <v>53</v>
      </c>
      <c r="M218" s="4" t="s">
        <v>213</v>
      </c>
      <c r="N218" s="10" t="s">
        <v>136</v>
      </c>
      <c r="O218" s="4" t="s">
        <v>137</v>
      </c>
      <c r="P218" s="11" t="s">
        <v>35</v>
      </c>
      <c r="R218" s="22">
        <v>2632</v>
      </c>
      <c r="U218" s="4" t="s">
        <v>38</v>
      </c>
      <c r="V218" s="4" t="s">
        <v>38</v>
      </c>
      <c r="W218" s="4" t="s">
        <v>38</v>
      </c>
    </row>
    <row r="219" spans="1:26" ht="25.5" hidden="1" customHeight="1">
      <c r="A219" s="22" t="s">
        <v>787</v>
      </c>
      <c r="B219" s="4" t="s">
        <v>783</v>
      </c>
      <c r="C219" s="4" t="s">
        <v>788</v>
      </c>
      <c r="D219" s="4" t="s">
        <v>785</v>
      </c>
      <c r="E219" s="4" t="s">
        <v>60</v>
      </c>
      <c r="F219" s="4" t="s">
        <v>192</v>
      </c>
      <c r="G219" s="5" t="s">
        <v>61</v>
      </c>
      <c r="H219" s="12" t="s">
        <v>786</v>
      </c>
      <c r="I219" s="5" t="s">
        <v>33</v>
      </c>
      <c r="J219" s="43" t="s">
        <v>289</v>
      </c>
      <c r="K219" s="43" t="s">
        <v>789</v>
      </c>
      <c r="L219" s="4" t="s">
        <v>53</v>
      </c>
      <c r="M219" s="4" t="s">
        <v>213</v>
      </c>
      <c r="N219" s="10" t="s">
        <v>136</v>
      </c>
      <c r="O219" s="4" t="s">
        <v>137</v>
      </c>
      <c r="P219" s="11" t="s">
        <v>35</v>
      </c>
      <c r="R219" s="22">
        <v>2634</v>
      </c>
      <c r="U219" s="4" t="s">
        <v>38</v>
      </c>
      <c r="V219" s="4" t="s">
        <v>38</v>
      </c>
      <c r="W219" s="4" t="s">
        <v>38</v>
      </c>
    </row>
    <row r="220" spans="1:26" ht="12.75" hidden="1" customHeight="1">
      <c r="A220" s="22" t="s">
        <v>790</v>
      </c>
      <c r="B220" s="4" t="s">
        <v>783</v>
      </c>
      <c r="C220" s="4" t="s">
        <v>791</v>
      </c>
      <c r="D220" s="4" t="s">
        <v>785</v>
      </c>
      <c r="E220" s="5" t="s">
        <v>347</v>
      </c>
      <c r="F220" s="4" t="s">
        <v>192</v>
      </c>
      <c r="G220" s="5" t="s">
        <v>61</v>
      </c>
      <c r="H220" s="12" t="s">
        <v>786</v>
      </c>
      <c r="I220" s="5" t="s">
        <v>33</v>
      </c>
      <c r="L220" s="4" t="s">
        <v>53</v>
      </c>
      <c r="M220" s="4" t="s">
        <v>213</v>
      </c>
      <c r="N220" s="10" t="s">
        <v>136</v>
      </c>
      <c r="O220" s="4" t="s">
        <v>137</v>
      </c>
      <c r="P220" s="11" t="s">
        <v>35</v>
      </c>
      <c r="R220" s="22">
        <v>2635</v>
      </c>
      <c r="U220" s="4" t="s">
        <v>38</v>
      </c>
      <c r="V220" s="4" t="s">
        <v>38</v>
      </c>
      <c r="W220" s="4" t="s">
        <v>38</v>
      </c>
    </row>
    <row r="221" spans="1:26" ht="12.75" hidden="1" customHeight="1">
      <c r="A221" s="22" t="s">
        <v>792</v>
      </c>
      <c r="B221" s="4" t="s">
        <v>783</v>
      </c>
      <c r="C221" s="4" t="s">
        <v>793</v>
      </c>
      <c r="D221" s="4" t="s">
        <v>785</v>
      </c>
      <c r="E221" s="4" t="s">
        <v>80</v>
      </c>
      <c r="F221" s="4" t="s">
        <v>192</v>
      </c>
      <c r="G221" s="5" t="s">
        <v>81</v>
      </c>
      <c r="H221" s="12" t="s">
        <v>786</v>
      </c>
      <c r="I221" s="5" t="s">
        <v>33</v>
      </c>
      <c r="L221" s="4" t="s">
        <v>53</v>
      </c>
      <c r="M221" s="4" t="s">
        <v>213</v>
      </c>
      <c r="N221" s="10" t="s">
        <v>136</v>
      </c>
      <c r="O221" s="4" t="s">
        <v>137</v>
      </c>
      <c r="P221" s="11" t="s">
        <v>35</v>
      </c>
      <c r="R221" s="22">
        <v>2633</v>
      </c>
      <c r="U221" s="4" t="s">
        <v>38</v>
      </c>
      <c r="V221" s="4" t="s">
        <v>38</v>
      </c>
      <c r="W221" s="4" t="s">
        <v>38</v>
      </c>
    </row>
    <row r="222" spans="1:26" ht="12.75" hidden="1" customHeight="1">
      <c r="A222" s="22" t="s">
        <v>794</v>
      </c>
      <c r="B222" s="4" t="s">
        <v>795</v>
      </c>
      <c r="C222" s="4" t="s">
        <v>796</v>
      </c>
      <c r="D222" s="4" t="s">
        <v>797</v>
      </c>
      <c r="E222" s="5" t="s">
        <v>68</v>
      </c>
      <c r="F222" s="4" t="s">
        <v>340</v>
      </c>
      <c r="G222" s="4" t="s">
        <v>70</v>
      </c>
      <c r="H222" s="11" t="str">
        <f>_xlfn.IFNA(VLOOKUP(F222,clientes!A:B,2,FALSE()),"--")</f>
        <v>Empresa De Transporte Masivo Del Valle De Aburrá Limitada</v>
      </c>
      <c r="I222" s="5" t="s">
        <v>33</v>
      </c>
      <c r="J222" s="43" t="s">
        <v>798</v>
      </c>
      <c r="K222" s="43" t="s">
        <v>799</v>
      </c>
      <c r="L222" s="10" t="s">
        <v>124</v>
      </c>
      <c r="M222" s="4" t="s">
        <v>157</v>
      </c>
      <c r="N222" s="10" t="s">
        <v>75</v>
      </c>
      <c r="P222" s="11" t="s">
        <v>35</v>
      </c>
      <c r="R222" s="22">
        <v>2655</v>
      </c>
      <c r="U222" s="4" t="s">
        <v>800</v>
      </c>
      <c r="V222" s="4" t="s">
        <v>38</v>
      </c>
      <c r="W222" s="4" t="s">
        <v>801</v>
      </c>
    </row>
    <row r="223" spans="1:26" ht="12.75" hidden="1" customHeight="1">
      <c r="A223" s="22" t="s">
        <v>802</v>
      </c>
      <c r="B223" s="4" t="s">
        <v>795</v>
      </c>
      <c r="C223" s="4" t="s">
        <v>803</v>
      </c>
      <c r="D223" s="4" t="s">
        <v>797</v>
      </c>
      <c r="E223" s="4" t="s">
        <v>804</v>
      </c>
      <c r="F223" s="4" t="s">
        <v>340</v>
      </c>
      <c r="G223" s="5" t="s">
        <v>81</v>
      </c>
      <c r="H223" s="11" t="str">
        <f>_xlfn.IFNA(VLOOKUP(F223,clientes!A:B,2,FALSE()),"--")</f>
        <v>Empresa De Transporte Masivo Del Valle De Aburrá Limitada</v>
      </c>
      <c r="I223" s="5" t="s">
        <v>33</v>
      </c>
      <c r="J223" s="43" t="s">
        <v>798</v>
      </c>
      <c r="K223" s="43" t="s">
        <v>799</v>
      </c>
      <c r="L223" s="10" t="s">
        <v>124</v>
      </c>
      <c r="M223" s="4" t="s">
        <v>157</v>
      </c>
      <c r="N223" s="10" t="s">
        <v>75</v>
      </c>
      <c r="P223" s="11" t="s">
        <v>35</v>
      </c>
      <c r="R223" s="22">
        <v>2656</v>
      </c>
      <c r="U223" s="4" t="s">
        <v>800</v>
      </c>
      <c r="V223" s="4" t="s">
        <v>38</v>
      </c>
      <c r="W223" s="4" t="s">
        <v>801</v>
      </c>
    </row>
    <row r="224" spans="1:26" ht="12.75" hidden="1" customHeight="1">
      <c r="A224" s="22" t="s">
        <v>805</v>
      </c>
      <c r="B224" s="4" t="s">
        <v>795</v>
      </c>
      <c r="C224" s="4" t="s">
        <v>806</v>
      </c>
      <c r="D224" s="4" t="s">
        <v>797</v>
      </c>
      <c r="E224" s="4" t="s">
        <v>60</v>
      </c>
      <c r="F224" s="4" t="s">
        <v>340</v>
      </c>
      <c r="G224" s="5" t="s">
        <v>61</v>
      </c>
      <c r="H224" s="11" t="str">
        <f>_xlfn.IFNA(VLOOKUP(F224,clientes!A:B,2,FALSE()),"--")</f>
        <v>Empresa De Transporte Masivo Del Valle De Aburrá Limitada</v>
      </c>
      <c r="I224" s="5" t="s">
        <v>33</v>
      </c>
      <c r="J224" s="43" t="s">
        <v>798</v>
      </c>
      <c r="K224" s="43" t="s">
        <v>799</v>
      </c>
      <c r="L224" s="10" t="s">
        <v>124</v>
      </c>
      <c r="M224" s="4" t="s">
        <v>157</v>
      </c>
      <c r="N224" s="10" t="s">
        <v>75</v>
      </c>
      <c r="P224" s="11" t="s">
        <v>35</v>
      </c>
      <c r="R224" s="22">
        <v>2657</v>
      </c>
      <c r="U224" s="4" t="s">
        <v>800</v>
      </c>
      <c r="V224" s="4" t="s">
        <v>38</v>
      </c>
      <c r="W224" s="4" t="s">
        <v>801</v>
      </c>
    </row>
    <row r="225" spans="1:26" ht="12.75" hidden="1" customHeight="1">
      <c r="A225" s="22" t="s">
        <v>807</v>
      </c>
      <c r="B225" s="4" t="s">
        <v>808</v>
      </c>
      <c r="C225" s="4" t="s">
        <v>809</v>
      </c>
      <c r="D225" s="4" t="s">
        <v>810</v>
      </c>
      <c r="E225" s="5" t="s">
        <v>68</v>
      </c>
      <c r="F225" s="4" t="s">
        <v>198</v>
      </c>
      <c r="G225" s="4" t="s">
        <v>70</v>
      </c>
      <c r="H225" s="12" t="s">
        <v>811</v>
      </c>
      <c r="I225" s="5" t="s">
        <v>33</v>
      </c>
      <c r="J225" s="43" t="s">
        <v>812</v>
      </c>
      <c r="K225" s="43" t="s">
        <v>813</v>
      </c>
      <c r="L225" s="4" t="s">
        <v>134</v>
      </c>
      <c r="M225" s="4" t="s">
        <v>74</v>
      </c>
      <c r="N225" s="4" t="s">
        <v>201</v>
      </c>
      <c r="O225" s="4" t="s">
        <v>202</v>
      </c>
      <c r="P225" s="11" t="s">
        <v>35</v>
      </c>
      <c r="R225" s="22">
        <v>2678</v>
      </c>
      <c r="U225" s="4" t="s">
        <v>814</v>
      </c>
      <c r="V225" s="4" t="s">
        <v>815</v>
      </c>
      <c r="W225" s="4" t="s">
        <v>38</v>
      </c>
    </row>
    <row r="226" spans="1:26" ht="12.75" hidden="1" customHeight="1">
      <c r="A226" s="22" t="s">
        <v>816</v>
      </c>
      <c r="B226" s="4" t="s">
        <v>808</v>
      </c>
      <c r="C226" s="4" t="s">
        <v>817</v>
      </c>
      <c r="D226" s="4" t="s">
        <v>810</v>
      </c>
      <c r="E226" s="5" t="s">
        <v>80</v>
      </c>
      <c r="F226" s="4" t="s">
        <v>198</v>
      </c>
      <c r="G226" s="5" t="s">
        <v>81</v>
      </c>
      <c r="H226" s="12" t="s">
        <v>811</v>
      </c>
      <c r="I226" s="5" t="s">
        <v>33</v>
      </c>
      <c r="J226" s="43" t="s">
        <v>812</v>
      </c>
      <c r="K226" s="43" t="s">
        <v>813</v>
      </c>
      <c r="L226" s="4" t="s">
        <v>134</v>
      </c>
      <c r="M226" s="4" t="s">
        <v>74</v>
      </c>
      <c r="N226" s="4" t="s">
        <v>201</v>
      </c>
      <c r="O226" s="4" t="s">
        <v>202</v>
      </c>
      <c r="P226" s="11" t="s">
        <v>35</v>
      </c>
      <c r="R226" s="22">
        <v>2679</v>
      </c>
      <c r="U226" s="4" t="s">
        <v>814</v>
      </c>
      <c r="V226" s="4" t="s">
        <v>815</v>
      </c>
      <c r="W226" s="4" t="s">
        <v>38</v>
      </c>
    </row>
    <row r="227" spans="1:26" ht="12.75" hidden="1" customHeight="1">
      <c r="A227" s="22" t="s">
        <v>818</v>
      </c>
      <c r="B227" s="4" t="s">
        <v>808</v>
      </c>
      <c r="C227" s="4" t="s">
        <v>819</v>
      </c>
      <c r="D227" s="4" t="s">
        <v>810</v>
      </c>
      <c r="E227" s="5" t="s">
        <v>60</v>
      </c>
      <c r="F227" s="4" t="s">
        <v>198</v>
      </c>
      <c r="G227" s="5" t="s">
        <v>61</v>
      </c>
      <c r="H227" s="12" t="s">
        <v>811</v>
      </c>
      <c r="I227" s="5" t="s">
        <v>33</v>
      </c>
      <c r="J227" s="43" t="s">
        <v>812</v>
      </c>
      <c r="K227" s="43" t="s">
        <v>813</v>
      </c>
      <c r="L227" s="4" t="s">
        <v>134</v>
      </c>
      <c r="M227" s="4" t="s">
        <v>74</v>
      </c>
      <c r="N227" s="4" t="s">
        <v>201</v>
      </c>
      <c r="O227" s="4" t="s">
        <v>202</v>
      </c>
      <c r="P227" s="11" t="s">
        <v>35</v>
      </c>
      <c r="R227" s="22">
        <v>2680</v>
      </c>
      <c r="U227" s="4" t="s">
        <v>814</v>
      </c>
      <c r="V227" s="4" t="s">
        <v>815</v>
      </c>
      <c r="W227" s="4" t="s">
        <v>38</v>
      </c>
    </row>
    <row r="228" spans="1:26" ht="12.75" hidden="1" customHeight="1">
      <c r="A228" s="22" t="s">
        <v>820</v>
      </c>
      <c r="B228" s="4" t="s">
        <v>808</v>
      </c>
      <c r="C228" s="4" t="s">
        <v>821</v>
      </c>
      <c r="D228" s="4" t="s">
        <v>810</v>
      </c>
      <c r="E228" s="5" t="s">
        <v>48</v>
      </c>
      <c r="F228" s="4" t="s">
        <v>198</v>
      </c>
      <c r="G228" s="5" t="s">
        <v>50</v>
      </c>
      <c r="H228" s="12" t="s">
        <v>811</v>
      </c>
      <c r="I228" s="5" t="s">
        <v>33</v>
      </c>
      <c r="J228" s="43" t="s">
        <v>812</v>
      </c>
      <c r="K228" s="43" t="s">
        <v>813</v>
      </c>
      <c r="L228" s="4" t="s">
        <v>134</v>
      </c>
      <c r="M228" s="4" t="s">
        <v>74</v>
      </c>
      <c r="N228" s="4" t="s">
        <v>201</v>
      </c>
      <c r="O228" s="4" t="s">
        <v>202</v>
      </c>
      <c r="P228" s="11" t="s">
        <v>35</v>
      </c>
      <c r="R228" s="22">
        <v>2681</v>
      </c>
      <c r="U228" s="4" t="s">
        <v>814</v>
      </c>
      <c r="V228" s="4" t="s">
        <v>815</v>
      </c>
      <c r="W228" s="4" t="s">
        <v>38</v>
      </c>
    </row>
    <row r="229" spans="1:26" ht="12.75" hidden="1" customHeight="1">
      <c r="A229" s="22" t="s">
        <v>822</v>
      </c>
      <c r="B229" s="4" t="s">
        <v>823</v>
      </c>
      <c r="C229" s="4" t="s">
        <v>824</v>
      </c>
      <c r="D229" s="4" t="s">
        <v>825</v>
      </c>
      <c r="E229" s="5" t="s">
        <v>68</v>
      </c>
      <c r="F229" s="4" t="s">
        <v>198</v>
      </c>
      <c r="G229" s="4" t="s">
        <v>70</v>
      </c>
      <c r="H229" s="12" t="s">
        <v>811</v>
      </c>
      <c r="I229" s="5" t="s">
        <v>33</v>
      </c>
      <c r="J229" s="43" t="s">
        <v>826</v>
      </c>
      <c r="K229" s="43" t="s">
        <v>827</v>
      </c>
      <c r="L229" s="4" t="s">
        <v>134</v>
      </c>
      <c r="M229" s="4" t="s">
        <v>74</v>
      </c>
      <c r="N229" s="4" t="s">
        <v>201</v>
      </c>
      <c r="O229" s="4" t="s">
        <v>202</v>
      </c>
      <c r="P229" s="11" t="s">
        <v>35</v>
      </c>
      <c r="R229" s="22">
        <v>2619</v>
      </c>
      <c r="U229" s="4" t="s">
        <v>828</v>
      </c>
      <c r="V229" s="4" t="s">
        <v>829</v>
      </c>
      <c r="W229" s="4" t="s">
        <v>830</v>
      </c>
    </row>
    <row r="230" spans="1:26" ht="12.75" hidden="1" customHeight="1">
      <c r="A230" s="22" t="s">
        <v>831</v>
      </c>
      <c r="B230" s="4" t="s">
        <v>823</v>
      </c>
      <c r="C230" s="4" t="s">
        <v>832</v>
      </c>
      <c r="D230" s="4" t="s">
        <v>825</v>
      </c>
      <c r="E230" s="4" t="s">
        <v>80</v>
      </c>
      <c r="F230" s="4" t="s">
        <v>198</v>
      </c>
      <c r="G230" s="5" t="s">
        <v>81</v>
      </c>
      <c r="H230" s="12" t="s">
        <v>811</v>
      </c>
      <c r="I230" s="5" t="s">
        <v>33</v>
      </c>
      <c r="J230" s="43" t="s">
        <v>826</v>
      </c>
      <c r="K230" s="43" t="s">
        <v>827</v>
      </c>
      <c r="L230" s="4" t="s">
        <v>134</v>
      </c>
      <c r="M230" s="4" t="s">
        <v>74</v>
      </c>
      <c r="N230" s="4" t="s">
        <v>201</v>
      </c>
      <c r="O230" s="4" t="s">
        <v>202</v>
      </c>
      <c r="P230" s="11" t="s">
        <v>35</v>
      </c>
      <c r="R230" s="22">
        <v>2620</v>
      </c>
      <c r="U230" s="4" t="s">
        <v>828</v>
      </c>
      <c r="V230" s="4" t="s">
        <v>829</v>
      </c>
      <c r="W230" s="4" t="s">
        <v>830</v>
      </c>
    </row>
    <row r="231" spans="1:26" ht="12.75" hidden="1" customHeight="1">
      <c r="A231" s="22" t="s">
        <v>833</v>
      </c>
      <c r="B231" s="4" t="s">
        <v>823</v>
      </c>
      <c r="C231" s="4" t="s">
        <v>834</v>
      </c>
      <c r="D231" s="4" t="s">
        <v>825</v>
      </c>
      <c r="E231" s="4" t="s">
        <v>60</v>
      </c>
      <c r="F231" s="4" t="s">
        <v>198</v>
      </c>
      <c r="G231" s="5" t="s">
        <v>61</v>
      </c>
      <c r="H231" s="12" t="s">
        <v>811</v>
      </c>
      <c r="I231" s="5" t="s">
        <v>33</v>
      </c>
      <c r="J231" s="43" t="s">
        <v>826</v>
      </c>
      <c r="K231" s="43" t="s">
        <v>827</v>
      </c>
      <c r="L231" s="4" t="s">
        <v>134</v>
      </c>
      <c r="M231" s="4" t="s">
        <v>74</v>
      </c>
      <c r="N231" s="4" t="s">
        <v>201</v>
      </c>
      <c r="O231" s="4" t="s">
        <v>202</v>
      </c>
      <c r="P231" s="11" t="s">
        <v>35</v>
      </c>
      <c r="R231" s="22">
        <v>2621</v>
      </c>
      <c r="U231" s="4" t="s">
        <v>828</v>
      </c>
      <c r="V231" s="4" t="s">
        <v>829</v>
      </c>
      <c r="W231" s="4" t="s">
        <v>830</v>
      </c>
    </row>
    <row r="232" spans="1:26" ht="12.75" hidden="1" customHeight="1">
      <c r="A232" s="22" t="s">
        <v>835</v>
      </c>
      <c r="B232" s="4" t="s">
        <v>823</v>
      </c>
      <c r="C232" s="4" t="s">
        <v>836</v>
      </c>
      <c r="D232" s="4" t="s">
        <v>825</v>
      </c>
      <c r="E232" s="4" t="s">
        <v>48</v>
      </c>
      <c r="F232" s="4" t="s">
        <v>198</v>
      </c>
      <c r="G232" s="5" t="s">
        <v>50</v>
      </c>
      <c r="H232" s="12" t="s">
        <v>811</v>
      </c>
      <c r="I232" s="5" t="s">
        <v>33</v>
      </c>
      <c r="J232" s="43" t="s">
        <v>826</v>
      </c>
      <c r="K232" s="43" t="s">
        <v>827</v>
      </c>
      <c r="L232" s="4" t="s">
        <v>134</v>
      </c>
      <c r="M232" s="4" t="s">
        <v>74</v>
      </c>
      <c r="N232" s="4" t="s">
        <v>201</v>
      </c>
      <c r="O232" s="4" t="s">
        <v>202</v>
      </c>
      <c r="P232" s="11" t="s">
        <v>35</v>
      </c>
      <c r="R232" s="22">
        <v>2622</v>
      </c>
      <c r="U232" s="4" t="s">
        <v>828</v>
      </c>
      <c r="V232" s="4" t="s">
        <v>829</v>
      </c>
      <c r="W232" s="4" t="s">
        <v>830</v>
      </c>
    </row>
    <row r="233" spans="1:26" ht="12.75" hidden="1" customHeight="1">
      <c r="A233" s="22" t="s">
        <v>837</v>
      </c>
      <c r="B233" s="4" t="s">
        <v>838</v>
      </c>
      <c r="C233" s="11" t="s">
        <v>839</v>
      </c>
      <c r="D233" s="4" t="s">
        <v>840</v>
      </c>
      <c r="E233" s="5" t="s">
        <v>68</v>
      </c>
      <c r="F233" s="5" t="s">
        <v>312</v>
      </c>
      <c r="G233" s="4" t="s">
        <v>70</v>
      </c>
      <c r="H233" s="11" t="s">
        <v>313</v>
      </c>
      <c r="I233" s="5" t="s">
        <v>33</v>
      </c>
      <c r="J233" s="43" t="s">
        <v>841</v>
      </c>
      <c r="K233" s="43" t="s">
        <v>683</v>
      </c>
      <c r="L233" s="4" t="s">
        <v>315</v>
      </c>
      <c r="M233" s="4" t="s">
        <v>457</v>
      </c>
      <c r="N233" s="4" t="s">
        <v>55</v>
      </c>
      <c r="O233" s="4" t="s">
        <v>777</v>
      </c>
      <c r="P233" s="11" t="s">
        <v>35</v>
      </c>
      <c r="Q233" s="4" t="s">
        <v>842</v>
      </c>
      <c r="R233" s="22">
        <v>2693</v>
      </c>
      <c r="T233" s="4" t="s">
        <v>426</v>
      </c>
      <c r="U233" s="48" t="s">
        <v>843</v>
      </c>
      <c r="V233" s="43" t="s">
        <v>844</v>
      </c>
      <c r="W233" s="43" t="s">
        <v>845</v>
      </c>
      <c r="Y233" s="43" t="s">
        <v>684</v>
      </c>
      <c r="Z233" s="43" t="s">
        <v>846</v>
      </c>
    </row>
    <row r="234" spans="1:26" ht="12.75" hidden="1" customHeight="1">
      <c r="A234" s="22" t="s">
        <v>847</v>
      </c>
      <c r="B234" s="4" t="s">
        <v>838</v>
      </c>
      <c r="C234" s="11" t="s">
        <v>839</v>
      </c>
      <c r="D234" s="4" t="s">
        <v>840</v>
      </c>
      <c r="E234" s="4" t="s">
        <v>80</v>
      </c>
      <c r="F234" s="5" t="s">
        <v>312</v>
      </c>
      <c r="G234" s="5" t="s">
        <v>81</v>
      </c>
      <c r="H234" s="11" t="s">
        <v>313</v>
      </c>
      <c r="I234" s="5" t="s">
        <v>33</v>
      </c>
      <c r="J234" s="43" t="s">
        <v>841</v>
      </c>
      <c r="K234" s="43" t="s">
        <v>683</v>
      </c>
      <c r="L234" s="4" t="s">
        <v>315</v>
      </c>
      <c r="M234" s="4" t="s">
        <v>457</v>
      </c>
      <c r="N234" s="4" t="s">
        <v>55</v>
      </c>
      <c r="O234" s="4" t="s">
        <v>777</v>
      </c>
      <c r="P234" s="11" t="s">
        <v>35</v>
      </c>
      <c r="Q234" s="4" t="s">
        <v>842</v>
      </c>
      <c r="R234" s="22">
        <v>2694</v>
      </c>
      <c r="T234" s="4" t="s">
        <v>426</v>
      </c>
      <c r="U234" s="48" t="s">
        <v>843</v>
      </c>
      <c r="V234" s="43" t="s">
        <v>844</v>
      </c>
      <c r="W234" s="43" t="s">
        <v>845</v>
      </c>
      <c r="Y234" s="43" t="s">
        <v>684</v>
      </c>
      <c r="Z234" s="43" t="s">
        <v>846</v>
      </c>
    </row>
    <row r="235" spans="1:26" ht="12.75" hidden="1" customHeight="1">
      <c r="A235" s="22" t="s">
        <v>848</v>
      </c>
      <c r="B235" s="4" t="s">
        <v>838</v>
      </c>
      <c r="C235" s="11" t="s">
        <v>839</v>
      </c>
      <c r="D235" s="4" t="s">
        <v>840</v>
      </c>
      <c r="E235" s="4" t="s">
        <v>60</v>
      </c>
      <c r="F235" s="5" t="s">
        <v>312</v>
      </c>
      <c r="G235" s="5" t="s">
        <v>61</v>
      </c>
      <c r="H235" s="11" t="s">
        <v>313</v>
      </c>
      <c r="I235" s="5" t="s">
        <v>33</v>
      </c>
      <c r="J235" s="43" t="s">
        <v>841</v>
      </c>
      <c r="K235" s="43" t="s">
        <v>683</v>
      </c>
      <c r="L235" s="4" t="s">
        <v>315</v>
      </c>
      <c r="M235" s="4" t="s">
        <v>457</v>
      </c>
      <c r="N235" s="4" t="s">
        <v>55</v>
      </c>
      <c r="O235" s="4" t="s">
        <v>777</v>
      </c>
      <c r="P235" s="11" t="s">
        <v>35</v>
      </c>
      <c r="Q235" s="4" t="s">
        <v>842</v>
      </c>
      <c r="R235" s="22">
        <v>2695</v>
      </c>
      <c r="T235" s="4" t="s">
        <v>426</v>
      </c>
      <c r="U235" s="48" t="s">
        <v>843</v>
      </c>
      <c r="V235" s="43" t="s">
        <v>844</v>
      </c>
      <c r="W235" s="43" t="s">
        <v>845</v>
      </c>
      <c r="Y235" s="43" t="s">
        <v>684</v>
      </c>
      <c r="Z235" s="43" t="s">
        <v>846</v>
      </c>
    </row>
    <row r="236" spans="1:26" ht="12.75" hidden="1" customHeight="1">
      <c r="A236" s="22" t="s">
        <v>849</v>
      </c>
      <c r="B236" s="4" t="s">
        <v>850</v>
      </c>
      <c r="C236" s="4" t="s">
        <v>851</v>
      </c>
      <c r="D236" s="5" t="s">
        <v>852</v>
      </c>
      <c r="E236" s="5" t="s">
        <v>68</v>
      </c>
      <c r="F236" s="5" t="s">
        <v>104</v>
      </c>
      <c r="G236" s="4" t="s">
        <v>70</v>
      </c>
      <c r="H236" s="11" t="str">
        <f>_xlfn.IFNA(VLOOKUP(F236,clientes!A:B,2,FALSE()),"--")</f>
        <v>Fiduagraria</v>
      </c>
      <c r="I236" s="5" t="s">
        <v>33</v>
      </c>
      <c r="J236" s="12" t="s">
        <v>111</v>
      </c>
      <c r="K236" s="48" t="s">
        <v>853</v>
      </c>
      <c r="L236" s="10" t="s">
        <v>53</v>
      </c>
      <c r="M236" s="10" t="s">
        <v>54</v>
      </c>
      <c r="N236" s="52" t="s">
        <v>55</v>
      </c>
      <c r="O236" s="4" t="s">
        <v>107</v>
      </c>
      <c r="P236" s="11" t="s">
        <v>35</v>
      </c>
      <c r="Q236" s="11" t="s">
        <v>36</v>
      </c>
      <c r="R236" s="22">
        <v>2702</v>
      </c>
      <c r="S236" s="10" t="s">
        <v>37</v>
      </c>
      <c r="U236" s="4" t="s">
        <v>38</v>
      </c>
      <c r="V236" s="4" t="s">
        <v>38</v>
      </c>
      <c r="W236" s="4" t="s">
        <v>38</v>
      </c>
    </row>
    <row r="237" spans="1:26" ht="12.75" hidden="1" customHeight="1">
      <c r="A237" s="22" t="s">
        <v>854</v>
      </c>
      <c r="B237" s="4" t="s">
        <v>855</v>
      </c>
      <c r="C237" s="4" t="s">
        <v>856</v>
      </c>
      <c r="D237" s="5" t="s">
        <v>857</v>
      </c>
      <c r="E237" s="4" t="s">
        <v>80</v>
      </c>
      <c r="F237" s="5" t="s">
        <v>104</v>
      </c>
      <c r="G237" s="5" t="s">
        <v>81</v>
      </c>
      <c r="H237" s="11" t="str">
        <f>_xlfn.IFNA(VLOOKUP(F237,clientes!A:B,2,FALSE()),"--")</f>
        <v>Fiduagraria</v>
      </c>
      <c r="I237" s="5" t="s">
        <v>33</v>
      </c>
      <c r="J237" s="12" t="s">
        <v>105</v>
      </c>
      <c r="K237" s="53" t="s">
        <v>858</v>
      </c>
      <c r="L237" s="10" t="s">
        <v>53</v>
      </c>
      <c r="M237" s="10" t="s">
        <v>54</v>
      </c>
      <c r="N237" s="52" t="s">
        <v>55</v>
      </c>
      <c r="O237" s="4" t="s">
        <v>107</v>
      </c>
      <c r="P237" s="11" t="s">
        <v>35</v>
      </c>
      <c r="Q237" s="11" t="s">
        <v>57</v>
      </c>
      <c r="R237" s="22">
        <v>2698</v>
      </c>
      <c r="S237" s="10" t="s">
        <v>64</v>
      </c>
      <c r="U237" s="4" t="s">
        <v>38</v>
      </c>
      <c r="V237" s="4" t="s">
        <v>38</v>
      </c>
      <c r="W237" s="4" t="s">
        <v>38</v>
      </c>
    </row>
    <row r="238" spans="1:26" ht="12.75" hidden="1" customHeight="1">
      <c r="A238" s="22" t="s">
        <v>859</v>
      </c>
      <c r="B238" s="4" t="s">
        <v>855</v>
      </c>
      <c r="C238" s="4" t="s">
        <v>860</v>
      </c>
      <c r="D238" s="5" t="s">
        <v>857</v>
      </c>
      <c r="E238" s="4" t="s">
        <v>60</v>
      </c>
      <c r="F238" s="5" t="s">
        <v>104</v>
      </c>
      <c r="G238" s="5" t="s">
        <v>61</v>
      </c>
      <c r="H238" s="11" t="str">
        <f>_xlfn.IFNA(VLOOKUP(F238,clientes!A:B,2,FALSE()),"--")</f>
        <v>Fiduagraria</v>
      </c>
      <c r="I238" s="5" t="s">
        <v>33</v>
      </c>
      <c r="J238" s="12" t="s">
        <v>105</v>
      </c>
      <c r="K238" s="18" t="s">
        <v>858</v>
      </c>
      <c r="L238" s="10" t="s">
        <v>53</v>
      </c>
      <c r="M238" s="10" t="s">
        <v>54</v>
      </c>
      <c r="N238" s="52" t="s">
        <v>55</v>
      </c>
      <c r="O238" s="4" t="s">
        <v>107</v>
      </c>
      <c r="P238" s="11" t="s">
        <v>35</v>
      </c>
      <c r="Q238" s="11" t="s">
        <v>57</v>
      </c>
      <c r="R238" s="22">
        <v>2699</v>
      </c>
      <c r="S238" s="10" t="s">
        <v>64</v>
      </c>
      <c r="U238" s="4" t="s">
        <v>38</v>
      </c>
      <c r="V238" s="4" t="s">
        <v>38</v>
      </c>
      <c r="W238" s="4" t="s">
        <v>38</v>
      </c>
    </row>
    <row r="239" spans="1:26" ht="12.75" hidden="1" customHeight="1">
      <c r="A239" s="22" t="s">
        <v>861</v>
      </c>
      <c r="B239" s="4" t="s">
        <v>855</v>
      </c>
      <c r="C239" s="4" t="s">
        <v>862</v>
      </c>
      <c r="D239" s="5" t="s">
        <v>857</v>
      </c>
      <c r="E239" s="5" t="s">
        <v>68</v>
      </c>
      <c r="F239" s="5" t="s">
        <v>104</v>
      </c>
      <c r="G239" s="4" t="s">
        <v>70</v>
      </c>
      <c r="H239" s="11" t="str">
        <f>_xlfn.IFNA(VLOOKUP(F239,clientes!A:B,2,FALSE()),"--")</f>
        <v>Fiduagraria</v>
      </c>
      <c r="I239" s="5" t="s">
        <v>33</v>
      </c>
      <c r="J239" s="12" t="s">
        <v>105</v>
      </c>
      <c r="K239" s="18" t="s">
        <v>858</v>
      </c>
      <c r="L239" s="10" t="s">
        <v>53</v>
      </c>
      <c r="M239" s="10" t="s">
        <v>54</v>
      </c>
      <c r="N239" s="52" t="s">
        <v>55</v>
      </c>
      <c r="O239" s="4" t="s">
        <v>107</v>
      </c>
      <c r="P239" s="11" t="s">
        <v>35</v>
      </c>
      <c r="Q239" s="11" t="s">
        <v>57</v>
      </c>
      <c r="R239" s="22">
        <v>2700</v>
      </c>
      <c r="S239" s="10" t="s">
        <v>64</v>
      </c>
      <c r="U239" s="4" t="s">
        <v>38</v>
      </c>
      <c r="V239" s="4" t="s">
        <v>38</v>
      </c>
      <c r="W239" s="4" t="s">
        <v>38</v>
      </c>
    </row>
    <row r="240" spans="1:26" ht="12.75" hidden="1" customHeight="1">
      <c r="A240" s="22" t="s">
        <v>863</v>
      </c>
      <c r="B240" s="4" t="s">
        <v>855</v>
      </c>
      <c r="C240" s="4" t="s">
        <v>864</v>
      </c>
      <c r="D240" s="5" t="s">
        <v>857</v>
      </c>
      <c r="E240" s="4" t="s">
        <v>48</v>
      </c>
      <c r="F240" s="5" t="s">
        <v>104</v>
      </c>
      <c r="G240" s="5" t="s">
        <v>50</v>
      </c>
      <c r="H240" s="11" t="str">
        <f>_xlfn.IFNA(VLOOKUP(F240,clientes!A:B,2,FALSE()),"--")</f>
        <v>Fiduagraria</v>
      </c>
      <c r="I240" s="5" t="s">
        <v>33</v>
      </c>
      <c r="J240" s="12" t="s">
        <v>105</v>
      </c>
      <c r="K240" s="18" t="s">
        <v>858</v>
      </c>
      <c r="L240" s="10" t="s">
        <v>53</v>
      </c>
      <c r="M240" s="10" t="s">
        <v>54</v>
      </c>
      <c r="N240" s="52" t="s">
        <v>55</v>
      </c>
      <c r="O240" s="4" t="s">
        <v>107</v>
      </c>
      <c r="P240" s="11" t="s">
        <v>35</v>
      </c>
      <c r="Q240" s="11" t="s">
        <v>57</v>
      </c>
      <c r="R240" s="22">
        <v>2701</v>
      </c>
      <c r="S240" s="10" t="s">
        <v>64</v>
      </c>
      <c r="U240" s="4" t="s">
        <v>38</v>
      </c>
      <c r="V240" s="4" t="s">
        <v>38</v>
      </c>
      <c r="W240" s="4" t="s">
        <v>38</v>
      </c>
    </row>
    <row r="241" spans="1:23" ht="12.75" hidden="1" customHeight="1">
      <c r="A241" s="22" t="s">
        <v>865</v>
      </c>
      <c r="B241" s="4" t="s">
        <v>866</v>
      </c>
      <c r="C241" s="4" t="s">
        <v>867</v>
      </c>
      <c r="D241" s="4" t="s">
        <v>752</v>
      </c>
      <c r="E241" s="4" t="s">
        <v>80</v>
      </c>
      <c r="F241" s="4" t="s">
        <v>868</v>
      </c>
      <c r="G241" s="5" t="s">
        <v>81</v>
      </c>
      <c r="H241" s="12" t="s">
        <v>869</v>
      </c>
      <c r="I241" s="5" t="s">
        <v>33</v>
      </c>
      <c r="J241" s="12" t="s">
        <v>869</v>
      </c>
      <c r="L241" s="4" t="s">
        <v>358</v>
      </c>
      <c r="M241" s="10" t="s">
        <v>95</v>
      </c>
      <c r="N241" s="52" t="s">
        <v>55</v>
      </c>
      <c r="O241" s="4" t="s">
        <v>107</v>
      </c>
      <c r="P241" s="11" t="s">
        <v>35</v>
      </c>
      <c r="U241" s="4" t="s">
        <v>870</v>
      </c>
      <c r="V241" s="4" t="s">
        <v>871</v>
      </c>
      <c r="W241" s="4" t="s">
        <v>872</v>
      </c>
    </row>
    <row r="242" spans="1:23" ht="12.75" hidden="1" customHeight="1">
      <c r="A242" s="22" t="s">
        <v>873</v>
      </c>
      <c r="B242" s="4" t="s">
        <v>866</v>
      </c>
      <c r="C242" s="4" t="s">
        <v>874</v>
      </c>
      <c r="D242" s="4" t="s">
        <v>752</v>
      </c>
      <c r="E242" s="4" t="s">
        <v>60</v>
      </c>
      <c r="F242" s="4" t="s">
        <v>868</v>
      </c>
      <c r="G242" s="5" t="s">
        <v>61</v>
      </c>
      <c r="H242" s="12" t="s">
        <v>869</v>
      </c>
      <c r="I242" s="5" t="s">
        <v>33</v>
      </c>
      <c r="J242" s="12" t="s">
        <v>869</v>
      </c>
      <c r="L242" s="4" t="s">
        <v>358</v>
      </c>
      <c r="M242" s="10" t="s">
        <v>95</v>
      </c>
      <c r="N242" s="52" t="s">
        <v>55</v>
      </c>
      <c r="O242" s="4" t="s">
        <v>107</v>
      </c>
      <c r="P242" s="11" t="s">
        <v>35</v>
      </c>
      <c r="U242" s="4" t="s">
        <v>870</v>
      </c>
      <c r="V242" s="4" t="s">
        <v>871</v>
      </c>
      <c r="W242" s="4" t="s">
        <v>872</v>
      </c>
    </row>
    <row r="243" spans="1:23" ht="12.75" hidden="1" customHeight="1">
      <c r="A243" s="22" t="s">
        <v>875</v>
      </c>
      <c r="B243" s="4" t="s">
        <v>866</v>
      </c>
      <c r="C243" s="4" t="s">
        <v>876</v>
      </c>
      <c r="D243" s="4" t="s">
        <v>752</v>
      </c>
      <c r="E243" s="5" t="s">
        <v>68</v>
      </c>
      <c r="F243" s="4" t="s">
        <v>868</v>
      </c>
      <c r="G243" s="4" t="s">
        <v>70</v>
      </c>
      <c r="H243" s="12" t="s">
        <v>869</v>
      </c>
      <c r="I243" s="5" t="s">
        <v>33</v>
      </c>
      <c r="J243" s="12" t="s">
        <v>869</v>
      </c>
      <c r="L243" s="4" t="s">
        <v>358</v>
      </c>
      <c r="M243" s="10" t="s">
        <v>95</v>
      </c>
      <c r="N243" s="52" t="s">
        <v>55</v>
      </c>
      <c r="O243" s="4" t="s">
        <v>107</v>
      </c>
      <c r="P243" s="11" t="s">
        <v>35</v>
      </c>
      <c r="U243" s="4" t="s">
        <v>870</v>
      </c>
      <c r="V243" s="4" t="s">
        <v>871</v>
      </c>
      <c r="W243" s="4" t="s">
        <v>872</v>
      </c>
    </row>
    <row r="244" spans="1:23" ht="12.75" hidden="1" customHeight="1">
      <c r="A244" s="22" t="s">
        <v>877</v>
      </c>
      <c r="B244" s="4" t="s">
        <v>878</v>
      </c>
      <c r="C244" s="4" t="s">
        <v>879</v>
      </c>
      <c r="D244" s="4" t="s">
        <v>880</v>
      </c>
      <c r="E244" s="4" t="s">
        <v>80</v>
      </c>
      <c r="F244" s="4" t="s">
        <v>881</v>
      </c>
      <c r="G244" s="5" t="s">
        <v>81</v>
      </c>
      <c r="H244" s="12" t="s">
        <v>882</v>
      </c>
      <c r="I244" s="5" t="s">
        <v>33</v>
      </c>
      <c r="J244" s="48" t="s">
        <v>883</v>
      </c>
      <c r="K244" s="48" t="s">
        <v>884</v>
      </c>
      <c r="L244" s="4" t="s">
        <v>156</v>
      </c>
      <c r="M244" s="10" t="s">
        <v>95</v>
      </c>
      <c r="N244" s="4" t="s">
        <v>55</v>
      </c>
      <c r="O244" s="4" t="s">
        <v>777</v>
      </c>
      <c r="P244" s="11" t="s">
        <v>35</v>
      </c>
      <c r="R244" s="22">
        <v>98717</v>
      </c>
      <c r="U244" s="4" t="s">
        <v>885</v>
      </c>
      <c r="V244" s="4" t="s">
        <v>886</v>
      </c>
      <c r="W244" s="4" t="s">
        <v>885</v>
      </c>
    </row>
    <row r="245" spans="1:23" ht="12.75" hidden="1" customHeight="1">
      <c r="A245" s="22" t="s">
        <v>887</v>
      </c>
      <c r="B245" s="4" t="s">
        <v>878</v>
      </c>
      <c r="C245" s="4" t="s">
        <v>888</v>
      </c>
      <c r="D245" s="4" t="s">
        <v>880</v>
      </c>
      <c r="E245" s="5" t="s">
        <v>68</v>
      </c>
      <c r="F245" s="4" t="s">
        <v>881</v>
      </c>
      <c r="G245" s="4" t="s">
        <v>70</v>
      </c>
      <c r="H245" s="12" t="s">
        <v>882</v>
      </c>
      <c r="I245" s="5" t="s">
        <v>33</v>
      </c>
      <c r="J245" s="48" t="s">
        <v>883</v>
      </c>
      <c r="K245" s="48" t="s">
        <v>884</v>
      </c>
      <c r="L245" s="4" t="s">
        <v>156</v>
      </c>
      <c r="M245" s="10" t="s">
        <v>95</v>
      </c>
      <c r="N245" s="4" t="s">
        <v>55</v>
      </c>
      <c r="O245" s="4" t="s">
        <v>777</v>
      </c>
      <c r="P245" s="11" t="s">
        <v>35</v>
      </c>
      <c r="R245" s="22">
        <v>98816</v>
      </c>
      <c r="U245" s="4" t="s">
        <v>885</v>
      </c>
      <c r="V245" s="4" t="s">
        <v>886</v>
      </c>
      <c r="W245" s="4" t="s">
        <v>885</v>
      </c>
    </row>
    <row r="246" spans="1:23" ht="12.75" hidden="1" customHeight="1">
      <c r="A246" s="22" t="s">
        <v>889</v>
      </c>
      <c r="B246" s="4" t="s">
        <v>878</v>
      </c>
      <c r="C246" s="4" t="s">
        <v>890</v>
      </c>
      <c r="D246" s="4" t="s">
        <v>880</v>
      </c>
      <c r="E246" s="4" t="s">
        <v>60</v>
      </c>
      <c r="F246" s="4" t="s">
        <v>881</v>
      </c>
      <c r="G246" s="5" t="s">
        <v>61</v>
      </c>
      <c r="H246" s="12" t="s">
        <v>882</v>
      </c>
      <c r="I246" s="5" t="s">
        <v>33</v>
      </c>
      <c r="J246" s="48" t="s">
        <v>883</v>
      </c>
      <c r="K246" s="48" t="s">
        <v>884</v>
      </c>
      <c r="L246" s="4" t="s">
        <v>156</v>
      </c>
      <c r="M246" s="10" t="s">
        <v>95</v>
      </c>
      <c r="N246" s="4" t="s">
        <v>55</v>
      </c>
      <c r="O246" s="4" t="s">
        <v>777</v>
      </c>
      <c r="P246" s="11" t="s">
        <v>35</v>
      </c>
      <c r="R246" s="22">
        <v>98817</v>
      </c>
      <c r="U246" s="4" t="s">
        <v>885</v>
      </c>
      <c r="V246" s="4" t="s">
        <v>886</v>
      </c>
      <c r="W246" s="4" t="s">
        <v>885</v>
      </c>
    </row>
    <row r="247" spans="1:23" ht="12.75" hidden="1" customHeight="1">
      <c r="A247" s="22" t="s">
        <v>891</v>
      </c>
      <c r="B247" s="4" t="s">
        <v>878</v>
      </c>
      <c r="C247" s="4" t="s">
        <v>892</v>
      </c>
      <c r="D247" s="4" t="s">
        <v>880</v>
      </c>
      <c r="E247" s="4" t="s">
        <v>48</v>
      </c>
      <c r="F247" s="4" t="s">
        <v>881</v>
      </c>
      <c r="G247" s="5" t="s">
        <v>50</v>
      </c>
      <c r="H247" s="12" t="s">
        <v>882</v>
      </c>
      <c r="I247" s="5" t="s">
        <v>33</v>
      </c>
      <c r="J247" s="48" t="s">
        <v>883</v>
      </c>
      <c r="K247" s="48" t="s">
        <v>884</v>
      </c>
      <c r="L247" s="4" t="s">
        <v>156</v>
      </c>
      <c r="M247" s="10" t="s">
        <v>95</v>
      </c>
      <c r="N247" s="4" t="s">
        <v>55</v>
      </c>
      <c r="O247" s="4" t="s">
        <v>777</v>
      </c>
      <c r="P247" s="11" t="s">
        <v>35</v>
      </c>
      <c r="R247" s="22">
        <v>98818</v>
      </c>
      <c r="U247" s="4" t="s">
        <v>885</v>
      </c>
      <c r="V247" s="4" t="s">
        <v>886</v>
      </c>
      <c r="W247" s="4" t="s">
        <v>885</v>
      </c>
    </row>
    <row r="248" spans="1:23" ht="12.75" hidden="1" customHeight="1">
      <c r="A248" s="22" t="s">
        <v>893</v>
      </c>
      <c r="B248" s="4" t="s">
        <v>894</v>
      </c>
      <c r="C248" s="4" t="s">
        <v>895</v>
      </c>
      <c r="D248" s="4" t="s">
        <v>896</v>
      </c>
      <c r="E248" s="4" t="s">
        <v>80</v>
      </c>
      <c r="F248" s="4" t="s">
        <v>897</v>
      </c>
      <c r="G248" s="5" t="s">
        <v>81</v>
      </c>
      <c r="H248" s="12" t="s">
        <v>898</v>
      </c>
      <c r="I248" s="5" t="s">
        <v>33</v>
      </c>
      <c r="J248" s="12" t="s">
        <v>898</v>
      </c>
      <c r="L248" s="4" t="s">
        <v>358</v>
      </c>
      <c r="M248" s="4" t="s">
        <v>899</v>
      </c>
      <c r="N248" s="4" t="s">
        <v>55</v>
      </c>
      <c r="O248" s="4" t="s">
        <v>900</v>
      </c>
      <c r="P248" s="11" t="s">
        <v>35</v>
      </c>
      <c r="U248" s="4" t="s">
        <v>901</v>
      </c>
      <c r="V248" s="4" t="s">
        <v>38</v>
      </c>
      <c r="W248" s="4" t="s">
        <v>38</v>
      </c>
    </row>
    <row r="249" spans="1:23" ht="12.75" hidden="1" customHeight="1">
      <c r="A249" s="22" t="s">
        <v>902</v>
      </c>
      <c r="B249" s="4" t="s">
        <v>903</v>
      </c>
      <c r="C249" s="4" t="s">
        <v>904</v>
      </c>
      <c r="D249" s="4" t="s">
        <v>905</v>
      </c>
      <c r="E249" s="4" t="s">
        <v>80</v>
      </c>
      <c r="F249" s="4" t="s">
        <v>355</v>
      </c>
      <c r="G249" s="5" t="s">
        <v>81</v>
      </c>
      <c r="H249" s="11" t="str">
        <f>_xlfn.IFNA(VLOOKUP(F249,clientes!A:B,2,FALSE()),"--")</f>
        <v>Superintendencia Servicios Públicos Domiciliarios</v>
      </c>
      <c r="I249" s="5" t="s">
        <v>33</v>
      </c>
      <c r="J249" s="12" t="s">
        <v>356</v>
      </c>
      <c r="L249" s="4" t="s">
        <v>358</v>
      </c>
      <c r="M249" s="4" t="s">
        <v>74</v>
      </c>
      <c r="N249" s="4" t="s">
        <v>201</v>
      </c>
      <c r="O249" s="4" t="s">
        <v>906</v>
      </c>
      <c r="P249" s="11" t="s">
        <v>35</v>
      </c>
      <c r="U249" s="4" t="s">
        <v>907</v>
      </c>
      <c r="V249" s="4" t="s">
        <v>908</v>
      </c>
      <c r="W249" s="4" t="s">
        <v>909</v>
      </c>
    </row>
    <row r="250" spans="1:23" ht="12.75" hidden="1" customHeight="1">
      <c r="A250" s="22" t="s">
        <v>910</v>
      </c>
      <c r="B250" s="4" t="s">
        <v>903</v>
      </c>
      <c r="C250" s="4" t="s">
        <v>911</v>
      </c>
      <c r="D250" s="4" t="s">
        <v>905</v>
      </c>
      <c r="E250" s="4" t="s">
        <v>48</v>
      </c>
      <c r="F250" s="4" t="s">
        <v>355</v>
      </c>
      <c r="G250" s="5" t="s">
        <v>50</v>
      </c>
      <c r="H250" s="11" t="str">
        <f>_xlfn.IFNA(VLOOKUP(F250,clientes!A:B,2,FALSE()),"--")</f>
        <v>Superintendencia Servicios Públicos Domiciliarios</v>
      </c>
      <c r="I250" s="5" t="s">
        <v>33</v>
      </c>
      <c r="J250" s="12" t="s">
        <v>356</v>
      </c>
      <c r="L250" s="4" t="s">
        <v>358</v>
      </c>
      <c r="M250" s="4" t="s">
        <v>899</v>
      </c>
      <c r="N250" s="4" t="s">
        <v>201</v>
      </c>
      <c r="O250" s="4" t="s">
        <v>906</v>
      </c>
      <c r="P250" s="11" t="s">
        <v>35</v>
      </c>
      <c r="U250" s="4" t="s">
        <v>907</v>
      </c>
      <c r="V250" s="4" t="s">
        <v>908</v>
      </c>
      <c r="W250" s="4" t="s">
        <v>909</v>
      </c>
    </row>
    <row r="251" spans="1:23" ht="12.75" hidden="1" customHeight="1">
      <c r="A251" s="22" t="s">
        <v>912</v>
      </c>
      <c r="B251" s="4" t="s">
        <v>903</v>
      </c>
      <c r="C251" s="4" t="s">
        <v>913</v>
      </c>
      <c r="D251" s="4" t="s">
        <v>905</v>
      </c>
      <c r="E251" s="5" t="s">
        <v>68</v>
      </c>
      <c r="F251" s="4" t="s">
        <v>355</v>
      </c>
      <c r="G251" s="4" t="s">
        <v>70</v>
      </c>
      <c r="H251" s="11" t="str">
        <f>_xlfn.IFNA(VLOOKUP(F251,clientes!A:B,2,FALSE()),"--")</f>
        <v>Superintendencia Servicios Públicos Domiciliarios</v>
      </c>
      <c r="I251" s="5" t="s">
        <v>33</v>
      </c>
      <c r="J251" s="12" t="s">
        <v>356</v>
      </c>
      <c r="L251" s="4" t="s">
        <v>358</v>
      </c>
      <c r="M251" s="4" t="s">
        <v>899</v>
      </c>
      <c r="N251" s="4" t="s">
        <v>201</v>
      </c>
      <c r="O251" s="4" t="s">
        <v>906</v>
      </c>
      <c r="P251" s="11" t="s">
        <v>35</v>
      </c>
      <c r="U251" s="4" t="s">
        <v>907</v>
      </c>
      <c r="V251" s="4" t="s">
        <v>908</v>
      </c>
      <c r="W251" s="4" t="s">
        <v>909</v>
      </c>
    </row>
    <row r="252" spans="1:23" ht="12.75" hidden="1" customHeight="1">
      <c r="A252" s="22" t="s">
        <v>914</v>
      </c>
      <c r="B252" s="4" t="s">
        <v>903</v>
      </c>
      <c r="C252" s="4" t="s">
        <v>915</v>
      </c>
      <c r="D252" s="4" t="s">
        <v>905</v>
      </c>
      <c r="E252" s="4" t="s">
        <v>60</v>
      </c>
      <c r="F252" s="4" t="s">
        <v>355</v>
      </c>
      <c r="G252" s="5" t="s">
        <v>61</v>
      </c>
      <c r="H252" s="11" t="str">
        <f>_xlfn.IFNA(VLOOKUP(F252,clientes!A:B,2,FALSE()),"--")</f>
        <v>Superintendencia Servicios Públicos Domiciliarios</v>
      </c>
      <c r="I252" s="5" t="s">
        <v>33</v>
      </c>
      <c r="J252" s="12" t="s">
        <v>356</v>
      </c>
      <c r="L252" s="4" t="s">
        <v>358</v>
      </c>
      <c r="M252" s="4" t="s">
        <v>899</v>
      </c>
      <c r="N252" s="4" t="s">
        <v>201</v>
      </c>
      <c r="O252" s="4" t="s">
        <v>906</v>
      </c>
      <c r="P252" s="11" t="s">
        <v>35</v>
      </c>
      <c r="U252" s="4" t="s">
        <v>907</v>
      </c>
      <c r="V252" s="4" t="s">
        <v>908</v>
      </c>
      <c r="W252" s="4" t="s">
        <v>909</v>
      </c>
    </row>
    <row r="253" spans="1:23" ht="12.75" hidden="1" customHeight="1">
      <c r="A253" s="22" t="s">
        <v>916</v>
      </c>
      <c r="B253" s="4" t="s">
        <v>917</v>
      </c>
      <c r="C253" s="4" t="s">
        <v>918</v>
      </c>
      <c r="D253" s="4" t="s">
        <v>919</v>
      </c>
      <c r="E253" s="4" t="s">
        <v>60</v>
      </c>
      <c r="F253" s="4" t="s">
        <v>253</v>
      </c>
      <c r="G253" s="5" t="s">
        <v>61</v>
      </c>
      <c r="H253" s="12" t="s">
        <v>254</v>
      </c>
      <c r="I253" s="5" t="s">
        <v>33</v>
      </c>
      <c r="L253" s="10" t="s">
        <v>134</v>
      </c>
      <c r="M253" s="4" t="s">
        <v>135</v>
      </c>
      <c r="N253" s="10" t="s">
        <v>136</v>
      </c>
      <c r="O253" s="4" t="s">
        <v>137</v>
      </c>
      <c r="P253" s="11" t="s">
        <v>35</v>
      </c>
      <c r="U253" s="4" t="s">
        <v>38</v>
      </c>
      <c r="V253" s="4" t="s">
        <v>38</v>
      </c>
      <c r="W253" s="4" t="s">
        <v>38</v>
      </c>
    </row>
    <row r="254" spans="1:23" ht="16.5" hidden="1" customHeight="1">
      <c r="A254" s="22" t="s">
        <v>920</v>
      </c>
      <c r="B254" s="4" t="s">
        <v>917</v>
      </c>
      <c r="C254" s="12" t="s">
        <v>921</v>
      </c>
      <c r="D254" s="4" t="s">
        <v>919</v>
      </c>
      <c r="E254" s="5" t="s">
        <v>347</v>
      </c>
      <c r="F254" s="4" t="s">
        <v>253</v>
      </c>
      <c r="G254" s="5" t="s">
        <v>61</v>
      </c>
      <c r="H254" s="12" t="s">
        <v>254</v>
      </c>
      <c r="I254" s="5" t="s">
        <v>33</v>
      </c>
      <c r="L254" s="10" t="s">
        <v>134</v>
      </c>
      <c r="M254" s="4" t="s">
        <v>135</v>
      </c>
      <c r="N254" s="10" t="s">
        <v>136</v>
      </c>
      <c r="O254" s="4" t="s">
        <v>137</v>
      </c>
      <c r="P254" s="11" t="s">
        <v>35</v>
      </c>
      <c r="U254" s="4" t="s">
        <v>38</v>
      </c>
      <c r="V254" s="4" t="s">
        <v>38</v>
      </c>
      <c r="W254" s="4" t="s">
        <v>38</v>
      </c>
    </row>
    <row r="255" spans="1:23" ht="12.75" hidden="1" customHeight="1">
      <c r="A255" s="22" t="s">
        <v>922</v>
      </c>
      <c r="B255" s="4" t="s">
        <v>917</v>
      </c>
      <c r="C255" s="4" t="s">
        <v>923</v>
      </c>
      <c r="D255" s="4" t="s">
        <v>919</v>
      </c>
      <c r="E255" s="5" t="s">
        <v>68</v>
      </c>
      <c r="F255" s="4" t="s">
        <v>253</v>
      </c>
      <c r="G255" s="4" t="s">
        <v>70</v>
      </c>
      <c r="H255" s="12" t="s">
        <v>254</v>
      </c>
      <c r="I255" s="5" t="s">
        <v>33</v>
      </c>
      <c r="L255" s="10" t="s">
        <v>134</v>
      </c>
      <c r="M255" s="4" t="s">
        <v>135</v>
      </c>
      <c r="N255" s="10" t="s">
        <v>136</v>
      </c>
      <c r="O255" s="4" t="s">
        <v>137</v>
      </c>
      <c r="P255" s="11" t="s">
        <v>35</v>
      </c>
      <c r="U255" s="4" t="s">
        <v>38</v>
      </c>
      <c r="V255" s="4" t="s">
        <v>38</v>
      </c>
      <c r="W255" s="4" t="s">
        <v>38</v>
      </c>
    </row>
    <row r="256" spans="1:23" ht="12.75" hidden="1" customHeight="1">
      <c r="A256" s="22" t="s">
        <v>924</v>
      </c>
      <c r="B256" s="4" t="s">
        <v>925</v>
      </c>
      <c r="C256" s="4" t="s">
        <v>926</v>
      </c>
      <c r="D256" s="4" t="s">
        <v>927</v>
      </c>
      <c r="E256" s="4" t="s">
        <v>60</v>
      </c>
      <c r="F256" s="4" t="s">
        <v>253</v>
      </c>
      <c r="G256" s="5" t="s">
        <v>61</v>
      </c>
      <c r="H256" s="12" t="s">
        <v>254</v>
      </c>
      <c r="I256" s="5" t="s">
        <v>33</v>
      </c>
      <c r="L256" s="10" t="s">
        <v>134</v>
      </c>
      <c r="M256" s="4" t="s">
        <v>135</v>
      </c>
      <c r="N256" s="10" t="s">
        <v>201</v>
      </c>
      <c r="O256" s="4" t="s">
        <v>256</v>
      </c>
      <c r="P256" s="11" t="s">
        <v>35</v>
      </c>
      <c r="U256" s="4" t="s">
        <v>38</v>
      </c>
      <c r="V256" s="4" t="s">
        <v>38</v>
      </c>
      <c r="W256" s="4" t="s">
        <v>38</v>
      </c>
    </row>
    <row r="257" spans="1:23" ht="12.75" hidden="1" customHeight="1">
      <c r="A257" s="22" t="s">
        <v>928</v>
      </c>
      <c r="B257" s="4" t="s">
        <v>925</v>
      </c>
      <c r="C257" s="4" t="s">
        <v>929</v>
      </c>
      <c r="D257" s="4" t="s">
        <v>927</v>
      </c>
      <c r="E257" s="5" t="s">
        <v>68</v>
      </c>
      <c r="F257" s="4" t="s">
        <v>253</v>
      </c>
      <c r="G257" s="4" t="s">
        <v>70</v>
      </c>
      <c r="H257" s="12" t="s">
        <v>254</v>
      </c>
      <c r="I257" s="5" t="s">
        <v>33</v>
      </c>
      <c r="L257" s="10" t="s">
        <v>134</v>
      </c>
      <c r="M257" s="4" t="s">
        <v>135</v>
      </c>
      <c r="N257" s="10" t="s">
        <v>201</v>
      </c>
      <c r="O257" s="4" t="s">
        <v>256</v>
      </c>
      <c r="P257" s="11" t="s">
        <v>35</v>
      </c>
      <c r="U257" s="4" t="s">
        <v>38</v>
      </c>
      <c r="V257" s="4" t="s">
        <v>38</v>
      </c>
      <c r="W257" s="4" t="s">
        <v>38</v>
      </c>
    </row>
    <row r="258" spans="1:23" ht="12.75" hidden="1" customHeight="1">
      <c r="A258" s="22" t="s">
        <v>930</v>
      </c>
      <c r="B258" s="4" t="s">
        <v>925</v>
      </c>
      <c r="C258" s="4" t="s">
        <v>931</v>
      </c>
      <c r="D258" s="4" t="s">
        <v>927</v>
      </c>
      <c r="E258" s="4" t="s">
        <v>691</v>
      </c>
      <c r="F258" s="4" t="s">
        <v>253</v>
      </c>
      <c r="G258" s="5" t="s">
        <v>50</v>
      </c>
      <c r="H258" s="12" t="s">
        <v>254</v>
      </c>
      <c r="I258" s="5" t="s">
        <v>33</v>
      </c>
      <c r="L258" s="10" t="s">
        <v>134</v>
      </c>
      <c r="M258" s="4" t="s">
        <v>95</v>
      </c>
      <c r="N258" s="10" t="s">
        <v>201</v>
      </c>
      <c r="O258" s="4" t="s">
        <v>256</v>
      </c>
      <c r="P258" s="11" t="s">
        <v>35</v>
      </c>
      <c r="U258" s="4" t="s">
        <v>38</v>
      </c>
      <c r="V258" s="4" t="s">
        <v>38</v>
      </c>
      <c r="W258" s="4" t="s">
        <v>38</v>
      </c>
    </row>
    <row r="259" spans="1:23" ht="12.75" hidden="1" customHeight="1">
      <c r="A259" s="22" t="s">
        <v>932</v>
      </c>
      <c r="B259" s="4" t="s">
        <v>933</v>
      </c>
      <c r="C259" s="4" t="s">
        <v>934</v>
      </c>
      <c r="D259" s="4" t="s">
        <v>935</v>
      </c>
      <c r="E259" s="4" t="s">
        <v>80</v>
      </c>
      <c r="F259" s="4" t="s">
        <v>168</v>
      </c>
      <c r="G259" s="5" t="s">
        <v>81</v>
      </c>
      <c r="H259" s="12" t="s">
        <v>936</v>
      </c>
      <c r="I259" s="5" t="s">
        <v>33</v>
      </c>
      <c r="L259" s="4" t="s">
        <v>53</v>
      </c>
      <c r="M259" s="4" t="s">
        <v>95</v>
      </c>
      <c r="N259" s="4" t="s">
        <v>55</v>
      </c>
      <c r="P259" s="11" t="s">
        <v>35</v>
      </c>
      <c r="U259" s="4" t="s">
        <v>38</v>
      </c>
      <c r="V259" s="4" t="s">
        <v>38</v>
      </c>
      <c r="W259" s="4" t="s">
        <v>38</v>
      </c>
    </row>
    <row r="260" spans="1:23" ht="12.75" hidden="1" customHeight="1">
      <c r="A260" s="22" t="s">
        <v>937</v>
      </c>
      <c r="B260" s="4" t="s">
        <v>933</v>
      </c>
      <c r="C260" s="4" t="s">
        <v>938</v>
      </c>
      <c r="D260" s="4" t="s">
        <v>935</v>
      </c>
      <c r="E260" s="4" t="s">
        <v>60</v>
      </c>
      <c r="F260" s="4" t="s">
        <v>168</v>
      </c>
      <c r="G260" s="5" t="s">
        <v>61</v>
      </c>
      <c r="H260" s="12" t="s">
        <v>936</v>
      </c>
      <c r="I260" s="5" t="s">
        <v>33</v>
      </c>
      <c r="L260" s="4" t="s">
        <v>53</v>
      </c>
      <c r="M260" s="4" t="s">
        <v>95</v>
      </c>
      <c r="N260" s="4" t="s">
        <v>55</v>
      </c>
      <c r="P260" s="11" t="s">
        <v>35</v>
      </c>
      <c r="U260" s="4" t="s">
        <v>38</v>
      </c>
      <c r="V260" s="4" t="s">
        <v>38</v>
      </c>
      <c r="W260" s="4" t="s">
        <v>38</v>
      </c>
    </row>
    <row r="261" spans="1:23" ht="12.75" hidden="1" customHeight="1">
      <c r="A261" s="22" t="s">
        <v>939</v>
      </c>
      <c r="B261" s="4" t="s">
        <v>933</v>
      </c>
      <c r="C261" s="4" t="s">
        <v>940</v>
      </c>
      <c r="D261" s="4" t="s">
        <v>935</v>
      </c>
      <c r="E261" s="5" t="s">
        <v>68</v>
      </c>
      <c r="F261" s="4" t="s">
        <v>168</v>
      </c>
      <c r="G261" s="4" t="s">
        <v>70</v>
      </c>
      <c r="H261" s="12" t="s">
        <v>941</v>
      </c>
      <c r="I261" s="5" t="s">
        <v>33</v>
      </c>
      <c r="L261" s="4" t="s">
        <v>53</v>
      </c>
      <c r="M261" s="4" t="s">
        <v>95</v>
      </c>
      <c r="N261" s="4" t="s">
        <v>55</v>
      </c>
      <c r="P261" s="11" t="s">
        <v>35</v>
      </c>
      <c r="U261" s="4" t="s">
        <v>38</v>
      </c>
      <c r="V261" s="4" t="s">
        <v>38</v>
      </c>
      <c r="W261" s="4" t="s">
        <v>38</v>
      </c>
    </row>
    <row r="262" spans="1:23" ht="12.75" hidden="1" customHeight="1">
      <c r="A262" s="22" t="s">
        <v>942</v>
      </c>
      <c r="B262" s="4" t="s">
        <v>943</v>
      </c>
      <c r="C262" s="4" t="s">
        <v>944</v>
      </c>
      <c r="D262" s="4" t="s">
        <v>945</v>
      </c>
      <c r="E262" s="4" t="s">
        <v>60</v>
      </c>
      <c r="F262" s="4" t="s">
        <v>168</v>
      </c>
      <c r="G262" s="5" t="s">
        <v>61</v>
      </c>
      <c r="H262" s="12" t="s">
        <v>946</v>
      </c>
      <c r="I262" s="5" t="s">
        <v>33</v>
      </c>
      <c r="L262" s="4" t="s">
        <v>156</v>
      </c>
      <c r="M262" s="4" t="s">
        <v>157</v>
      </c>
      <c r="N262" s="4" t="s">
        <v>201</v>
      </c>
      <c r="P262" s="11" t="s">
        <v>35</v>
      </c>
      <c r="U262" s="4" t="s">
        <v>947</v>
      </c>
      <c r="V262" s="4" t="s">
        <v>38</v>
      </c>
      <c r="W262" s="4" t="s">
        <v>948</v>
      </c>
    </row>
    <row r="263" spans="1:23" ht="12.75" hidden="1" customHeight="1">
      <c r="A263" s="22" t="s">
        <v>949</v>
      </c>
      <c r="B263" s="4" t="s">
        <v>943</v>
      </c>
      <c r="C263" s="4" t="s">
        <v>950</v>
      </c>
      <c r="D263" s="4" t="s">
        <v>945</v>
      </c>
      <c r="E263" s="4" t="s">
        <v>80</v>
      </c>
      <c r="F263" s="4" t="s">
        <v>168</v>
      </c>
      <c r="G263" s="5" t="s">
        <v>81</v>
      </c>
      <c r="H263" s="12" t="s">
        <v>946</v>
      </c>
      <c r="I263" s="5" t="s">
        <v>33</v>
      </c>
      <c r="L263" s="4" t="s">
        <v>156</v>
      </c>
      <c r="M263" s="4" t="s">
        <v>157</v>
      </c>
      <c r="N263" s="4" t="s">
        <v>201</v>
      </c>
      <c r="P263" s="11" t="s">
        <v>35</v>
      </c>
      <c r="U263" s="4" t="s">
        <v>947</v>
      </c>
      <c r="V263" s="4" t="s">
        <v>38</v>
      </c>
      <c r="W263" s="4" t="s">
        <v>948</v>
      </c>
    </row>
    <row r="264" spans="1:23" ht="12.75" hidden="1" customHeight="1">
      <c r="A264" s="22" t="s">
        <v>951</v>
      </c>
      <c r="B264" s="4" t="s">
        <v>952</v>
      </c>
      <c r="C264" s="4" t="s">
        <v>953</v>
      </c>
      <c r="D264" s="4" t="s">
        <v>954</v>
      </c>
      <c r="E264" s="4" t="s">
        <v>60</v>
      </c>
      <c r="F264" s="4" t="s">
        <v>331</v>
      </c>
      <c r="G264" s="5" t="s">
        <v>61</v>
      </c>
      <c r="H264" s="11" t="str">
        <f>_xlfn.IFNA(VLOOKUP(F264,clientes!A:B,2,FALSE()),"--")</f>
        <v>Universidad de Caldas</v>
      </c>
      <c r="I264" s="5" t="s">
        <v>33</v>
      </c>
      <c r="J264" s="12" t="s">
        <v>332</v>
      </c>
      <c r="K264" s="27" t="s">
        <v>557</v>
      </c>
      <c r="L264" s="10" t="s">
        <v>53</v>
      </c>
      <c r="M264" s="14" t="s">
        <v>95</v>
      </c>
      <c r="N264" s="10" t="s">
        <v>55</v>
      </c>
      <c r="O264" s="4" t="s">
        <v>777</v>
      </c>
      <c r="P264" s="11" t="s">
        <v>35</v>
      </c>
      <c r="U264" s="4" t="s">
        <v>38</v>
      </c>
      <c r="V264" s="4" t="s">
        <v>955</v>
      </c>
      <c r="W264" s="4" t="s">
        <v>956</v>
      </c>
    </row>
    <row r="265" spans="1:23" ht="12.75" hidden="1" customHeight="1">
      <c r="A265" s="22" t="s">
        <v>957</v>
      </c>
      <c r="B265" s="4" t="s">
        <v>958</v>
      </c>
      <c r="C265" s="4" t="s">
        <v>959</v>
      </c>
      <c r="D265" s="4" t="s">
        <v>960</v>
      </c>
      <c r="E265" s="4" t="s">
        <v>80</v>
      </c>
      <c r="F265" s="4" t="s">
        <v>253</v>
      </c>
      <c r="G265" s="4" t="s">
        <v>81</v>
      </c>
      <c r="H265" s="12" t="s">
        <v>254</v>
      </c>
      <c r="I265" s="5" t="s">
        <v>33</v>
      </c>
      <c r="L265" s="10" t="s">
        <v>134</v>
      </c>
      <c r="M265" s="4" t="s">
        <v>95</v>
      </c>
      <c r="N265" s="10" t="s">
        <v>136</v>
      </c>
      <c r="O265" s="4" t="s">
        <v>137</v>
      </c>
      <c r="P265" s="11" t="s">
        <v>35</v>
      </c>
      <c r="U265" s="4" t="s">
        <v>38</v>
      </c>
      <c r="V265" s="4" t="s">
        <v>38</v>
      </c>
      <c r="W265" s="4" t="s">
        <v>38</v>
      </c>
    </row>
    <row r="266" spans="1:23" ht="12.75" hidden="1" customHeight="1">
      <c r="A266" s="22" t="s">
        <v>961</v>
      </c>
      <c r="B266" s="4" t="s">
        <v>958</v>
      </c>
      <c r="C266" s="4" t="s">
        <v>962</v>
      </c>
      <c r="D266" s="4" t="s">
        <v>960</v>
      </c>
      <c r="E266" s="4" t="s">
        <v>60</v>
      </c>
      <c r="F266" s="4" t="s">
        <v>253</v>
      </c>
      <c r="G266" s="4" t="s">
        <v>61</v>
      </c>
      <c r="H266" s="12" t="s">
        <v>254</v>
      </c>
      <c r="I266" s="5" t="s">
        <v>33</v>
      </c>
      <c r="L266" s="10" t="s">
        <v>134</v>
      </c>
      <c r="M266" s="4" t="s">
        <v>95</v>
      </c>
      <c r="N266" s="10" t="s">
        <v>136</v>
      </c>
      <c r="O266" s="4" t="s">
        <v>137</v>
      </c>
      <c r="P266" s="11" t="s">
        <v>35</v>
      </c>
      <c r="U266" s="4" t="s">
        <v>38</v>
      </c>
      <c r="V266" s="4" t="s">
        <v>38</v>
      </c>
      <c r="W266" s="4" t="s">
        <v>38</v>
      </c>
    </row>
    <row r="267" spans="1:23" ht="12.75" hidden="1" customHeight="1">
      <c r="A267" s="22" t="s">
        <v>963</v>
      </c>
      <c r="B267" s="4" t="s">
        <v>958</v>
      </c>
      <c r="C267" s="4" t="s">
        <v>964</v>
      </c>
      <c r="D267" s="4" t="s">
        <v>960</v>
      </c>
      <c r="E267" s="4" t="s">
        <v>48</v>
      </c>
      <c r="F267" s="4" t="s">
        <v>253</v>
      </c>
      <c r="G267" s="4" t="s">
        <v>50</v>
      </c>
      <c r="H267" s="12" t="s">
        <v>254</v>
      </c>
      <c r="I267" s="5" t="s">
        <v>33</v>
      </c>
      <c r="L267" s="10" t="s">
        <v>134</v>
      </c>
      <c r="M267" s="4" t="s">
        <v>95</v>
      </c>
      <c r="N267" s="10" t="s">
        <v>136</v>
      </c>
      <c r="O267" s="4" t="s">
        <v>137</v>
      </c>
      <c r="P267" s="11" t="s">
        <v>35</v>
      </c>
      <c r="U267" s="4" t="s">
        <v>38</v>
      </c>
      <c r="V267" s="4" t="s">
        <v>38</v>
      </c>
      <c r="W267" s="4" t="s">
        <v>38</v>
      </c>
    </row>
    <row r="268" spans="1:23" ht="12.75" hidden="1" customHeight="1">
      <c r="A268" s="22" t="s">
        <v>965</v>
      </c>
      <c r="B268" s="4" t="s">
        <v>958</v>
      </c>
      <c r="C268" s="4" t="s">
        <v>966</v>
      </c>
      <c r="D268" s="4" t="s">
        <v>960</v>
      </c>
      <c r="E268" s="4" t="s">
        <v>436</v>
      </c>
      <c r="F268" s="4" t="s">
        <v>253</v>
      </c>
      <c r="G268" s="4" t="s">
        <v>61</v>
      </c>
      <c r="H268" s="12" t="s">
        <v>254</v>
      </c>
      <c r="I268" s="5" t="s">
        <v>33</v>
      </c>
      <c r="L268" s="10" t="s">
        <v>134</v>
      </c>
      <c r="M268" s="4" t="s">
        <v>95</v>
      </c>
      <c r="N268" s="10" t="s">
        <v>136</v>
      </c>
      <c r="O268" s="4" t="s">
        <v>137</v>
      </c>
      <c r="P268" s="11" t="s">
        <v>35</v>
      </c>
      <c r="U268" s="4" t="s">
        <v>38</v>
      </c>
      <c r="V268" s="4" t="s">
        <v>38</v>
      </c>
      <c r="W268" s="4" t="s">
        <v>38</v>
      </c>
    </row>
    <row r="269" spans="1:23" ht="12.75" hidden="1" customHeight="1">
      <c r="A269" s="22" t="s">
        <v>967</v>
      </c>
      <c r="B269" s="4" t="s">
        <v>958</v>
      </c>
      <c r="C269" s="4" t="s">
        <v>968</v>
      </c>
      <c r="D269" s="4" t="s">
        <v>960</v>
      </c>
      <c r="E269" s="4" t="s">
        <v>68</v>
      </c>
      <c r="F269" s="4" t="s">
        <v>253</v>
      </c>
      <c r="G269" s="4" t="s">
        <v>70</v>
      </c>
      <c r="H269" s="12" t="s">
        <v>254</v>
      </c>
      <c r="I269" s="5" t="s">
        <v>33</v>
      </c>
      <c r="L269" s="10" t="s">
        <v>134</v>
      </c>
      <c r="M269" s="4" t="s">
        <v>95</v>
      </c>
      <c r="N269" s="10" t="s">
        <v>136</v>
      </c>
      <c r="O269" s="4" t="s">
        <v>137</v>
      </c>
      <c r="P269" s="11" t="s">
        <v>35</v>
      </c>
      <c r="U269" s="4" t="s">
        <v>38</v>
      </c>
      <c r="V269" s="4" t="s">
        <v>38</v>
      </c>
      <c r="W269" s="4" t="s">
        <v>38</v>
      </c>
    </row>
    <row r="270" spans="1:23" ht="12.75" hidden="1" customHeight="1">
      <c r="A270" s="28" t="s">
        <v>969</v>
      </c>
      <c r="B270" s="5" t="s">
        <v>970</v>
      </c>
      <c r="C270" s="11" t="str">
        <f t="shared" ref="C270:C280" si="7">F270&amp;" - "&amp;D270&amp;" - "&amp;E270</f>
        <v>REN - Rendara - MVP Implementación - Pending</v>
      </c>
      <c r="D270" s="5" t="s">
        <v>971</v>
      </c>
      <c r="E270" s="5" t="s">
        <v>969</v>
      </c>
      <c r="F270" s="5" t="s">
        <v>972</v>
      </c>
      <c r="G270" s="5" t="s">
        <v>81</v>
      </c>
      <c r="H270" s="11" t="str">
        <f>_xlfn.IFNA(VLOOKUP(F270,clientes!A:B,2,FALSE()),"--")</f>
        <v>Rendara</v>
      </c>
      <c r="I270" s="5" t="s">
        <v>71</v>
      </c>
      <c r="J270" s="9" t="s">
        <v>973</v>
      </c>
      <c r="K270" s="8" t="s">
        <v>974</v>
      </c>
      <c r="L270" s="10"/>
      <c r="M270" s="10" t="s">
        <v>74</v>
      </c>
      <c r="N270" s="10" t="s">
        <v>75</v>
      </c>
      <c r="P270" s="11" t="s">
        <v>77</v>
      </c>
      <c r="Q270" s="11" t="s">
        <v>391</v>
      </c>
      <c r="R270" s="23"/>
      <c r="S270" s="10" t="s">
        <v>64</v>
      </c>
      <c r="U270" s="4" t="s">
        <v>38</v>
      </c>
      <c r="V270" s="4" t="s">
        <v>38</v>
      </c>
      <c r="W270" s="4" t="s">
        <v>38</v>
      </c>
    </row>
    <row r="271" spans="1:23" ht="12.75" hidden="1" customHeight="1">
      <c r="A271" s="28" t="s">
        <v>969</v>
      </c>
      <c r="B271" s="5" t="s">
        <v>975</v>
      </c>
      <c r="C271" s="11" t="str">
        <f t="shared" si="7"/>
        <v>MTU - Desarrollo Muttu 2.0 - Pending</v>
      </c>
      <c r="D271" s="5" t="s">
        <v>976</v>
      </c>
      <c r="E271" s="5" t="s">
        <v>969</v>
      </c>
      <c r="F271" s="5" t="s">
        <v>977</v>
      </c>
      <c r="G271" s="5" t="s">
        <v>81</v>
      </c>
      <c r="H271" s="11" t="str">
        <f>_xlfn.IFNA(VLOOKUP(F271,clientes!A:B,2,FALSE()),"--")</f>
        <v>Muttu</v>
      </c>
      <c r="I271" s="5" t="s">
        <v>71</v>
      </c>
      <c r="J271" s="6" t="s">
        <v>978</v>
      </c>
      <c r="K271" s="7" t="s">
        <v>979</v>
      </c>
      <c r="L271" s="10"/>
      <c r="M271" s="10" t="s">
        <v>74</v>
      </c>
      <c r="N271" s="10" t="s">
        <v>75</v>
      </c>
      <c r="P271" s="11" t="s">
        <v>77</v>
      </c>
      <c r="Q271" s="11" t="s">
        <v>36</v>
      </c>
      <c r="R271" s="23"/>
      <c r="S271" s="10" t="s">
        <v>64</v>
      </c>
      <c r="U271" s="4" t="s">
        <v>38</v>
      </c>
      <c r="V271" s="4" t="s">
        <v>38</v>
      </c>
      <c r="W271" s="4" t="s">
        <v>38</v>
      </c>
    </row>
    <row r="272" spans="1:23" ht="12.75" hidden="1" customHeight="1">
      <c r="A272" s="28" t="s">
        <v>969</v>
      </c>
      <c r="B272" s="5" t="s">
        <v>980</v>
      </c>
      <c r="C272" s="11" t="str">
        <f t="shared" si="7"/>
        <v>MTU - Operación - Muttu V2.0 - Pending</v>
      </c>
      <c r="D272" s="5" t="s">
        <v>981</v>
      </c>
      <c r="E272" s="5" t="s">
        <v>969</v>
      </c>
      <c r="F272" s="5" t="s">
        <v>977</v>
      </c>
      <c r="G272" s="5" t="s">
        <v>81</v>
      </c>
      <c r="H272" s="11" t="str">
        <f>_xlfn.IFNA(VLOOKUP(F272,clientes!A:B,2,FALSE()),"--")</f>
        <v>Muttu</v>
      </c>
      <c r="I272" s="5" t="s">
        <v>71</v>
      </c>
      <c r="J272" s="6" t="s">
        <v>982</v>
      </c>
      <c r="K272" s="4" t="s">
        <v>983</v>
      </c>
      <c r="L272" s="10"/>
      <c r="M272" s="10" t="s">
        <v>74</v>
      </c>
      <c r="N272" s="10" t="s">
        <v>75</v>
      </c>
      <c r="P272" s="11" t="s">
        <v>77</v>
      </c>
      <c r="Q272" s="11" t="s">
        <v>391</v>
      </c>
      <c r="S272" s="10" t="s">
        <v>64</v>
      </c>
      <c r="U272" s="4" t="s">
        <v>38</v>
      </c>
      <c r="V272" s="4" t="s">
        <v>38</v>
      </c>
      <c r="W272" s="4" t="s">
        <v>38</v>
      </c>
    </row>
    <row r="273" spans="1:23" ht="12.75" hidden="1" customHeight="1">
      <c r="A273" s="28" t="s">
        <v>969</v>
      </c>
      <c r="B273" s="5" t="s">
        <v>984</v>
      </c>
      <c r="C273" s="11" t="str">
        <f t="shared" si="7"/>
        <v>BCX - Assessment Data Analytics - Pending</v>
      </c>
      <c r="D273" s="5" t="s">
        <v>985</v>
      </c>
      <c r="E273" s="5" t="s">
        <v>969</v>
      </c>
      <c r="F273" s="5" t="s">
        <v>986</v>
      </c>
      <c r="G273" s="5" t="s">
        <v>81</v>
      </c>
      <c r="H273" s="11" t="str">
        <f>_xlfn.IFNA(VLOOKUP(F273,clientes!A:B,2,FALSE()),"--")</f>
        <v>Banco de Desarrollo Empresarial de Colombia</v>
      </c>
      <c r="I273" s="5" t="s">
        <v>71</v>
      </c>
      <c r="J273" s="12" t="s">
        <v>987</v>
      </c>
      <c r="K273" s="4" t="s">
        <v>988</v>
      </c>
      <c r="L273" s="10"/>
      <c r="M273" s="10" t="s">
        <v>95</v>
      </c>
      <c r="N273" s="10" t="s">
        <v>989</v>
      </c>
      <c r="O273" s="4" t="s">
        <v>34</v>
      </c>
      <c r="P273" s="11" t="s">
        <v>77</v>
      </c>
      <c r="Q273" s="11" t="s">
        <v>36</v>
      </c>
      <c r="S273" s="10" t="s">
        <v>37</v>
      </c>
      <c r="U273" s="4" t="s">
        <v>38</v>
      </c>
      <c r="V273" s="4" t="s">
        <v>38</v>
      </c>
      <c r="W273" s="4" t="s">
        <v>38</v>
      </c>
    </row>
    <row r="274" spans="1:23" ht="12.75" hidden="1" customHeight="1">
      <c r="A274" s="28" t="s">
        <v>969</v>
      </c>
      <c r="B274" s="5" t="s">
        <v>990</v>
      </c>
      <c r="C274" s="11" t="str">
        <f t="shared" si="7"/>
        <v>FDN - POC Agente Cognitivo Contratación - Pending</v>
      </c>
      <c r="D274" s="5" t="s">
        <v>991</v>
      </c>
      <c r="E274" s="5" t="s">
        <v>969</v>
      </c>
      <c r="F274" s="5" t="s">
        <v>231</v>
      </c>
      <c r="G274" s="5" t="s">
        <v>81</v>
      </c>
      <c r="H274" s="11" t="str">
        <f>_xlfn.IFNA(VLOOKUP(F274,clientes!A:B,2,FALSE()),"--")</f>
        <v>Financiera de Desarrollo Nacional</v>
      </c>
      <c r="I274" s="5" t="s">
        <v>71</v>
      </c>
      <c r="J274" s="12" t="s">
        <v>232</v>
      </c>
      <c r="K274" s="4" t="s">
        <v>992</v>
      </c>
      <c r="L274" s="10" t="s">
        <v>124</v>
      </c>
      <c r="M274" s="10" t="s">
        <v>95</v>
      </c>
      <c r="N274" s="10" t="s">
        <v>136</v>
      </c>
      <c r="O274" s="4" t="s">
        <v>137</v>
      </c>
      <c r="P274" s="11" t="s">
        <v>77</v>
      </c>
      <c r="Q274" s="11" t="s">
        <v>36</v>
      </c>
      <c r="S274" s="10" t="s">
        <v>37</v>
      </c>
      <c r="U274" s="4" t="s">
        <v>38</v>
      </c>
      <c r="V274" s="4" t="s">
        <v>38</v>
      </c>
      <c r="W274" s="4" t="s">
        <v>38</v>
      </c>
    </row>
    <row r="275" spans="1:23" ht="12.75" hidden="1" customHeight="1">
      <c r="A275" s="28" t="s">
        <v>969</v>
      </c>
      <c r="B275" s="5" t="s">
        <v>993</v>
      </c>
      <c r="C275" s="11" t="str">
        <f t="shared" si="7"/>
        <v>MDR - POC - Grupos Relacionados por el Diagnóstico (GRDs) - Pending</v>
      </c>
      <c r="D275" s="5" t="s">
        <v>994</v>
      </c>
      <c r="E275" s="5" t="s">
        <v>969</v>
      </c>
      <c r="F275" s="5" t="s">
        <v>995</v>
      </c>
      <c r="G275" s="5" t="s">
        <v>81</v>
      </c>
      <c r="H275" s="11" t="str">
        <f>_xlfn.IFNA(VLOOKUP(F275,clientes!A:B,2,FALSE()),"--")</f>
        <v>Mederi</v>
      </c>
      <c r="I275" s="5" t="s">
        <v>71</v>
      </c>
      <c r="J275" s="12" t="s">
        <v>996</v>
      </c>
      <c r="K275" s="4" t="s">
        <v>997</v>
      </c>
      <c r="L275" s="10"/>
      <c r="M275" s="10" t="s">
        <v>145</v>
      </c>
      <c r="N275" s="10" t="s">
        <v>989</v>
      </c>
      <c r="O275" s="4" t="s">
        <v>34</v>
      </c>
      <c r="P275" s="11" t="s">
        <v>77</v>
      </c>
      <c r="Q275" s="11" t="s">
        <v>36</v>
      </c>
      <c r="R275" s="23"/>
      <c r="S275" s="10" t="s">
        <v>37</v>
      </c>
      <c r="U275" s="4" t="s">
        <v>38</v>
      </c>
      <c r="V275" s="4" t="s">
        <v>38</v>
      </c>
      <c r="W275" s="4" t="s">
        <v>38</v>
      </c>
    </row>
    <row r="276" spans="1:23" ht="12.75" hidden="1" customHeight="1">
      <c r="A276" s="28" t="s">
        <v>969</v>
      </c>
      <c r="B276" s="5" t="s">
        <v>998</v>
      </c>
      <c r="C276" s="11" t="str">
        <f t="shared" si="7"/>
        <v>PRO - POC - Análisis de llamadas - Pending</v>
      </c>
      <c r="D276" s="5" t="s">
        <v>999</v>
      </c>
      <c r="E276" s="5" t="s">
        <v>969</v>
      </c>
      <c r="F276" s="5" t="s">
        <v>590</v>
      </c>
      <c r="G276" s="5" t="s">
        <v>81</v>
      </c>
      <c r="H276" s="11" t="str">
        <f>_xlfn.IFNA(VLOOKUP(F276,clientes!A:B,2,FALSE()),"--")</f>
        <v>--</v>
      </c>
      <c r="I276" s="5" t="s">
        <v>71</v>
      </c>
      <c r="J276" s="12" t="s">
        <v>591</v>
      </c>
      <c r="K276" s="4" t="s">
        <v>999</v>
      </c>
      <c r="L276" s="10" t="s">
        <v>73</v>
      </c>
      <c r="M276" s="10" t="s">
        <v>157</v>
      </c>
      <c r="N276" s="10" t="s">
        <v>989</v>
      </c>
      <c r="O276" s="4" t="s">
        <v>34</v>
      </c>
      <c r="P276" s="11" t="s">
        <v>77</v>
      </c>
      <c r="Q276" s="11" t="s">
        <v>36</v>
      </c>
      <c r="S276" s="10" t="s">
        <v>37</v>
      </c>
      <c r="U276" s="4" t="s">
        <v>38</v>
      </c>
      <c r="V276" s="4" t="s">
        <v>38</v>
      </c>
      <c r="W276" s="4" t="s">
        <v>38</v>
      </c>
    </row>
    <row r="277" spans="1:23" ht="12.75" hidden="1" customHeight="1">
      <c r="A277" s="28" t="s">
        <v>969</v>
      </c>
      <c r="B277" s="5" t="s">
        <v>1000</v>
      </c>
      <c r="C277" s="11" t="str">
        <f t="shared" si="7"/>
        <v>MTC - POC - EVA - Pending</v>
      </c>
      <c r="D277" s="5" t="s">
        <v>1001</v>
      </c>
      <c r="E277" s="5" t="s">
        <v>969</v>
      </c>
      <c r="F277" s="5" t="s">
        <v>279</v>
      </c>
      <c r="G277" s="5" t="s">
        <v>81</v>
      </c>
      <c r="H277" s="11" t="str">
        <f>_xlfn.IFNA(VLOOKUP(F277,clientes!A:B,2,FALSE()),"--")</f>
        <v>MinTic</v>
      </c>
      <c r="I277" s="5" t="s">
        <v>71</v>
      </c>
      <c r="J277" s="12" t="s">
        <v>1002</v>
      </c>
      <c r="K277" s="4" t="s">
        <v>34</v>
      </c>
      <c r="L277" s="10" t="s">
        <v>282</v>
      </c>
      <c r="M277" s="10" t="s">
        <v>74</v>
      </c>
      <c r="N277" s="10" t="s">
        <v>989</v>
      </c>
      <c r="O277" s="4" t="s">
        <v>34</v>
      </c>
      <c r="P277" s="11" t="s">
        <v>77</v>
      </c>
      <c r="Q277" s="11" t="s">
        <v>36</v>
      </c>
      <c r="S277" s="10" t="s">
        <v>37</v>
      </c>
      <c r="U277" s="4" t="s">
        <v>38</v>
      </c>
      <c r="V277" s="4" t="s">
        <v>38</v>
      </c>
      <c r="W277" s="4" t="s">
        <v>38</v>
      </c>
    </row>
    <row r="278" spans="1:23" ht="12.75" hidden="1" customHeight="1">
      <c r="A278" s="28" t="s">
        <v>969</v>
      </c>
      <c r="B278" s="5" t="s">
        <v>1003</v>
      </c>
      <c r="C278" s="11" t="str">
        <f t="shared" si="7"/>
        <v>BRE - PoC ACI Pagos Inmediatos - Pending</v>
      </c>
      <c r="D278" s="5" t="s">
        <v>1004</v>
      </c>
      <c r="E278" s="5" t="s">
        <v>969</v>
      </c>
      <c r="F278" s="5" t="s">
        <v>1005</v>
      </c>
      <c r="G278" s="5" t="s">
        <v>81</v>
      </c>
      <c r="H278" s="11" t="str">
        <f>_xlfn.IFNA(VLOOKUP(F278,clientes!A:B,2,FALSE()),"--")</f>
        <v>Banco de la República</v>
      </c>
      <c r="I278" s="5" t="s">
        <v>71</v>
      </c>
      <c r="J278" s="12" t="s">
        <v>1006</v>
      </c>
      <c r="K278" s="4" t="s">
        <v>1004</v>
      </c>
      <c r="L278" s="10" t="s">
        <v>34</v>
      </c>
      <c r="M278" s="10" t="s">
        <v>157</v>
      </c>
      <c r="N278" s="10" t="s">
        <v>1007</v>
      </c>
      <c r="O278" s="4" t="s">
        <v>34</v>
      </c>
      <c r="P278" s="11" t="s">
        <v>77</v>
      </c>
      <c r="Q278" s="11" t="s">
        <v>36</v>
      </c>
      <c r="S278" s="10" t="s">
        <v>37</v>
      </c>
      <c r="U278" s="4" t="s">
        <v>38</v>
      </c>
      <c r="V278" s="4" t="s">
        <v>38</v>
      </c>
      <c r="W278" s="4" t="s">
        <v>38</v>
      </c>
    </row>
    <row r="279" spans="1:23" ht="12.75" hidden="1" customHeight="1">
      <c r="A279" s="28" t="s">
        <v>969</v>
      </c>
      <c r="B279" s="5" t="s">
        <v>1008</v>
      </c>
      <c r="C279" s="11" t="str">
        <f t="shared" si="7"/>
        <v>CCB - Poc Analitica - Pending</v>
      </c>
      <c r="D279" s="5" t="s">
        <v>1009</v>
      </c>
      <c r="E279" s="5" t="s">
        <v>969</v>
      </c>
      <c r="F279" s="5" t="s">
        <v>1010</v>
      </c>
      <c r="G279" s="5" t="s">
        <v>81</v>
      </c>
      <c r="H279" s="11" t="str">
        <f>_xlfn.IFNA(VLOOKUP(F279,clientes!A:B,2,FALSE()),"--")</f>
        <v>Camara de Comercio de Bogotá</v>
      </c>
      <c r="I279" s="5" t="s">
        <v>71</v>
      </c>
      <c r="J279" s="12" t="s">
        <v>1011</v>
      </c>
      <c r="K279" s="11"/>
      <c r="L279" s="10"/>
      <c r="M279" s="10" t="s">
        <v>74</v>
      </c>
      <c r="N279" s="10" t="s">
        <v>201</v>
      </c>
      <c r="O279" s="4" t="s">
        <v>425</v>
      </c>
      <c r="P279" s="11" t="s">
        <v>77</v>
      </c>
      <c r="Q279" s="11" t="s">
        <v>36</v>
      </c>
      <c r="S279" s="10" t="s">
        <v>37</v>
      </c>
      <c r="U279" s="4" t="s">
        <v>38</v>
      </c>
      <c r="V279" s="4" t="s">
        <v>38</v>
      </c>
      <c r="W279" s="4" t="s">
        <v>38</v>
      </c>
    </row>
    <row r="280" spans="1:23" ht="12.75" hidden="1" customHeight="1">
      <c r="A280" s="28"/>
      <c r="B280" s="5"/>
      <c r="C280" s="11" t="str">
        <f t="shared" si="7"/>
        <v xml:space="preserve"> -  - </v>
      </c>
      <c r="D280" s="5"/>
      <c r="E280" s="5"/>
      <c r="F280" s="5"/>
      <c r="G280" s="5"/>
      <c r="H280" s="11" t="str">
        <f>_xlfn.IFNA(VLOOKUP(F280,clientes!A:B,2,FALSE()),"--")</f>
        <v>--</v>
      </c>
      <c r="I280" s="5"/>
      <c r="J280" s="12"/>
      <c r="L280" s="10"/>
      <c r="M280" s="10"/>
      <c r="N280" s="10"/>
      <c r="P280" s="11"/>
      <c r="Q280" s="11"/>
      <c r="S280" s="10"/>
      <c r="U280" s="4" t="s">
        <v>38</v>
      </c>
      <c r="V280" s="4" t="s">
        <v>38</v>
      </c>
      <c r="W280" s="4" t="s">
        <v>38</v>
      </c>
    </row>
    <row r="281" spans="1:23" ht="12.75" hidden="1" customHeight="1">
      <c r="A281" s="68" t="s">
        <v>1012</v>
      </c>
      <c r="B281" s="5" t="s">
        <v>894</v>
      </c>
      <c r="C281" s="11" t="s">
        <v>895</v>
      </c>
      <c r="D281" s="5" t="s">
        <v>896</v>
      </c>
      <c r="E281" s="5" t="s">
        <v>68</v>
      </c>
      <c r="F281" s="5" t="s">
        <v>897</v>
      </c>
      <c r="G281" s="5" t="s">
        <v>70</v>
      </c>
      <c r="H281" s="11" t="s">
        <v>898</v>
      </c>
      <c r="I281" s="5" t="s">
        <v>33</v>
      </c>
      <c r="J281" s="12" t="s">
        <v>898</v>
      </c>
      <c r="L281" s="69" t="s">
        <v>358</v>
      </c>
      <c r="M281" s="69" t="s">
        <v>899</v>
      </c>
      <c r="N281" s="69" t="s">
        <v>55</v>
      </c>
      <c r="O281" s="4" t="s">
        <v>900</v>
      </c>
      <c r="P281" s="11" t="s">
        <v>35</v>
      </c>
      <c r="Q281" s="11"/>
      <c r="S281" s="69"/>
    </row>
    <row r="282" spans="1:23" ht="12.75" hidden="1" customHeight="1">
      <c r="A282" s="68" t="s">
        <v>1013</v>
      </c>
      <c r="B282" s="5" t="s">
        <v>1014</v>
      </c>
      <c r="C282" s="11" t="s">
        <v>1015</v>
      </c>
      <c r="D282" s="5" t="s">
        <v>1016</v>
      </c>
      <c r="E282" s="5" t="s">
        <v>80</v>
      </c>
      <c r="F282" s="5" t="s">
        <v>69</v>
      </c>
      <c r="G282" s="5" t="s">
        <v>81</v>
      </c>
      <c r="H282" s="11" t="str">
        <f>_xlfn.IFNA(VLOOKUP(F282,clientes!A:B,2,FALSE()),"--")</f>
        <v>Alcaldia de Cali</v>
      </c>
      <c r="I282" s="5" t="s">
        <v>33</v>
      </c>
      <c r="J282" s="12"/>
      <c r="L282" s="69" t="s">
        <v>73</v>
      </c>
      <c r="M282" s="69" t="s">
        <v>1017</v>
      </c>
      <c r="N282" s="69"/>
      <c r="P282" s="11"/>
      <c r="Q282" s="11"/>
      <c r="S282" s="69"/>
    </row>
    <row r="283" spans="1:23" ht="12.75" hidden="1" customHeight="1">
      <c r="A283" s="68" t="s">
        <v>1018</v>
      </c>
      <c r="B283" s="5" t="s">
        <v>1014</v>
      </c>
      <c r="C283" s="11" t="s">
        <v>1019</v>
      </c>
      <c r="D283" s="5" t="s">
        <v>1016</v>
      </c>
      <c r="E283" s="5" t="s">
        <v>60</v>
      </c>
      <c r="F283" s="5" t="s">
        <v>69</v>
      </c>
      <c r="G283" s="5" t="s">
        <v>61</v>
      </c>
      <c r="H283" s="11" t="str">
        <f>_xlfn.IFNA(VLOOKUP(F283,clientes!A:B,2,FALSE()),"--")</f>
        <v>Alcaldia de Cali</v>
      </c>
      <c r="I283" s="5" t="s">
        <v>33</v>
      </c>
      <c r="J283" s="12"/>
      <c r="L283" s="69" t="s">
        <v>73</v>
      </c>
      <c r="M283" s="69" t="s">
        <v>1017</v>
      </c>
      <c r="N283" s="69"/>
      <c r="P283" s="11"/>
      <c r="Q283" s="11"/>
      <c r="S283" s="69"/>
    </row>
    <row r="284" spans="1:23" ht="12.75" hidden="1" customHeight="1">
      <c r="A284" s="68" t="s">
        <v>1020</v>
      </c>
      <c r="B284" s="5" t="s">
        <v>1014</v>
      </c>
      <c r="C284" s="11" t="s">
        <v>1021</v>
      </c>
      <c r="D284" s="5" t="s">
        <v>1016</v>
      </c>
      <c r="E284" s="5" t="s">
        <v>68</v>
      </c>
      <c r="F284" s="5" t="s">
        <v>69</v>
      </c>
      <c r="G284" s="5" t="s">
        <v>70</v>
      </c>
      <c r="H284" s="11" t="str">
        <f>_xlfn.IFNA(VLOOKUP(F284,clientes!A:B,2,FALSE()),"--")</f>
        <v>Alcaldia de Cali</v>
      </c>
      <c r="I284" s="5" t="s">
        <v>33</v>
      </c>
      <c r="J284" s="12"/>
      <c r="L284" s="69" t="s">
        <v>73</v>
      </c>
      <c r="M284" s="69" t="s">
        <v>1017</v>
      </c>
      <c r="N284" s="69"/>
      <c r="P284" s="11"/>
      <c r="Q284" s="11"/>
      <c r="S284" s="69"/>
    </row>
  </sheetData>
  <customSheetViews>
    <customSheetView guid="{3464DDFB-821E-45DE-AB56-D2D76A09FA3C}" filter="1" showAutoFilter="1">
      <pageMargins left="0" right="0" top="0" bottom="0" header="0" footer="0"/>
      <autoFilter ref="A1:L334" xr:uid="{F1CBA377-D5C3-480C-9EA5-F61FEF7124B5}">
        <filterColumn colId="6">
          <filters>
            <filter val="Activo"/>
          </filters>
        </filterColumn>
        <filterColumn colId="10">
          <filters blank="1">
            <filter val="Andres Barrantes"/>
            <filter val="Anyeline Lozada"/>
            <filter val="Carolina Alemán"/>
            <filter val="Daniela Muñoz"/>
            <filter val="Diana Garcés"/>
            <filter val="Edwin Gutierrez"/>
            <filter val="Fanny Roa"/>
            <filter val="Fernando Ortega"/>
            <filter val="Jairo Beltrán"/>
            <filter val="Jessica Carreño"/>
            <filter val="Josué Fernández"/>
            <filter val="Karen Arandia"/>
            <filter val="Karina Barrantes"/>
            <filter val="Liliana Ramirez"/>
            <filter val="Maria Moncada"/>
            <filter val="Viviana Perez"/>
          </filters>
        </filterColumn>
      </autoFilter>
    </customSheetView>
    <customSheetView guid="{A7FF9354-BEDB-43BC-B746-ED060F2D2A1C}" filter="1" showAutoFilter="1">
      <pageMargins left="0" right="0" top="0" bottom="0" header="0" footer="0"/>
      <autoFilter ref="A1:K302" xr:uid="{6B10F466-0AAC-4E28-997C-0CC3A9ACA46F}"/>
    </customSheetView>
    <customSheetView guid="{A47F9681-CF07-486E-84E4-360578FEE645}" filter="1" showAutoFilter="1">
      <pageMargins left="0" right="0" top="0" bottom="0" header="0" footer="0"/>
      <autoFilter ref="A1:K332" xr:uid="{05030A77-A059-4F3D-BA50-5A28D6767964}">
        <filterColumn colId="4">
          <filters>
            <filter val="Implementación"/>
            <filter val="Lic de Uso"/>
            <filter val="Operación"/>
          </filters>
        </filterColumn>
        <filterColumn colId="6">
          <filters>
            <filter val="Activo"/>
          </filters>
        </filterColumn>
      </autoFilter>
    </customSheetView>
    <customSheetView guid="{78A96660-9D46-4E54-A7E2-56F777579B7C}" filter="1" showAutoFilter="1">
      <pageMargins left="0" right="0" top="0" bottom="0" header="0" footer="0"/>
      <autoFilter ref="A1:L327" xr:uid="{25DBF5E0-DD81-4A54-BDCD-4A2989378769}">
        <filterColumn colId="5">
          <filters>
            <filter val="A la Caja"/>
            <filter val="Acttiva"/>
            <filter val="Agata Data"/>
            <filter val="Alcaldia de Cali"/>
            <filter val="Alianza"/>
            <filter val="AlterU"/>
            <filter val="Avanzo"/>
            <filter val="AWS Colombia"/>
            <filter val="Banco de Desarrollo Empresarial de Colombia"/>
            <filter val="Banco de la República"/>
            <filter val="Banco Interamericano de Desarrollo"/>
            <filter val="BTG"/>
            <filter val="Camara de Comercio de Bogotá"/>
            <filter val="Cámara de Comercio de Cali"/>
            <filter val="Colcharter"/>
            <filter val="Coljuegos"/>
            <filter val="Compensar"/>
            <filter val="Consejo Superior de la Judicatura"/>
            <filter val="Contraloría"/>
            <filter val="Credicorp"/>
            <filter val="Cuenta Alto Costo"/>
            <filter val="DIAN"/>
            <filter val="DING - Tecnipagos"/>
            <filter val="Emcali"/>
            <filter val="Empresa De Transporte Masivo Del Valle De Aburrá Limitada"/>
            <filter val="Fiduagraria"/>
            <filter val="Financiera de Desarrollo Nacional"/>
            <filter val="Fondo Adaptación"/>
            <filter val="Fundación Universitaria Compensar"/>
            <filter val="Global Securities"/>
            <filter val="Icfes"/>
            <filter val="Innpulsa"/>
            <filter val="JPMP - Justicia Penal Militar y Policial"/>
            <filter val="Koia"/>
            <filter val="La Administradora de los Recursos del Sistema General de Seguridad Social en Salud"/>
            <filter val="Maint SA - Ecuador"/>
            <filter val="Mederi"/>
            <filter val="Ministerio de Ciencia Tecnología e Innovación"/>
            <filter val="MinTic"/>
            <filter val="Muttu"/>
            <filter val="Nueva Eps"/>
            <filter val="Policia Nacional"/>
            <filter val="Ponal DIPOL"/>
            <filter val="Powwi"/>
            <filter val="Progresión"/>
            <filter val="Red Logística y Gestión SAS"/>
            <filter val="Rendara"/>
            <filter val="Sanidad"/>
            <filter val="Secretaria Distrital del Hábitat"/>
            <filter val="SIC"/>
            <filter val="Smartco"/>
            <filter val="Superintendencia de Servicios"/>
            <filter val="Superintendencia de Sociedades"/>
            <filter val="Symplifica"/>
            <filter val="TDSynnex"/>
            <filter val="Televideo"/>
            <filter val="Ticket Fast - Tuboleta"/>
            <filter val="TuBoleta"/>
            <filter val="UBosque"/>
            <filter val="Unidad Administrativa Especial de Catastro Distrital"/>
            <filter val="Universidad de Caldas"/>
            <filter val="Universidad EAFIT - Escuela de Administración, Finanzas e Instituto Tecnológico"/>
            <filter val="Universidad Nacional de Colombia"/>
            <filter val="Virufy"/>
            <filter val="Witty"/>
          </filters>
        </filterColumn>
        <filterColumn colId="6">
          <filters>
            <filter val="Activo"/>
          </filters>
        </filterColumn>
      </autoFilter>
    </customSheetView>
    <customSheetView guid="{98E056CF-2279-47CD-8BC2-487D612A886A}" filter="1" showAutoFilter="1">
      <pageMargins left="0" right="0" top="0" bottom="0" header="0" footer="0"/>
      <autoFilter ref="A1:K327" xr:uid="{57281AF6-9FB3-47CF-9EE9-CC924CD5B862}"/>
    </customSheetView>
    <customSheetView guid="{EB4AC347-268F-40CF-A83C-DD9CDE6BEE8E}" filter="1" showAutoFilter="1">
      <pageMargins left="0" right="0" top="0" bottom="0" header="0" footer="0"/>
      <autoFilter ref="A1:K251" xr:uid="{BE58BD4A-92D3-4BB9-B828-0C33513E7DF6}">
        <filterColumn colId="3">
          <filters>
            <filter val="ACA"/>
            <filter val="ACT"/>
            <filter val="AGR"/>
            <filter val="ALC"/>
            <filter val="ALI"/>
            <filter val="ALU"/>
            <filter val="AVA"/>
            <filter val="AWS"/>
            <filter val="CCC"/>
            <filter val="CGR"/>
            <filter val="COL"/>
            <filter val="COM"/>
            <filter val="CRD"/>
            <filter val="DIN"/>
            <filter val="DIP"/>
            <filter val="EMC"/>
            <filter val="FUC"/>
            <filter val="ICF"/>
            <filter val="INN"/>
            <filter val="JPM"/>
            <filter val="KOI"/>
            <filter val="MAI"/>
            <filter val="MTC"/>
            <filter val="NEP"/>
            <filter val="NUV"/>
            <filter val="PON"/>
            <filter val="POW"/>
            <filter val="RLG"/>
            <filter val="SAN"/>
            <filter val="SCO"/>
            <filter val="SOC"/>
            <filter val="SYM"/>
            <filter val="TBL"/>
            <filter val="TCF"/>
            <filter val="TDS"/>
            <filter val="TVI"/>
            <filter val="UCA"/>
            <filter val="VFY"/>
          </filters>
        </filterColumn>
        <filterColumn colId="6">
          <filters>
            <filter val="Activo"/>
          </filters>
        </filterColumn>
      </autoFilter>
    </customSheetView>
    <customSheetView guid="{E7A9FB15-0138-4B7C-B5BD-30986F02B55D}" filter="1" showAutoFilter="1">
      <pageMargins left="0" right="0" top="0" bottom="0" header="0" footer="0"/>
      <autoFilter ref="A1:L337" xr:uid="{72B54C56-7A92-4C03-8A70-CE6B88ECEF03}">
        <filterColumn colId="5">
          <filters>
            <filter val="A la Caja"/>
            <filter val="Acttiva"/>
            <filter val="Alianza"/>
            <filter val="AlterU"/>
            <filter val="Avanzo"/>
            <filter val="AWS Colombia"/>
            <filter val="Colcharter"/>
            <filter val="Compensar"/>
            <filter val="Contraloría"/>
            <filter val="Credicorp"/>
            <filter val="Cuenta Alto Costo"/>
            <filter val="DING - Tecnipagos"/>
            <filter val="Emcali"/>
            <filter val="Fundación Universitaria Compensar"/>
            <filter val="Innpulsa"/>
            <filter val="Koia"/>
            <filter val="Maint SA - Ecuador"/>
            <filter val="Nueva Eps"/>
            <filter val="Nuvu"/>
            <filter val="Ponal DIPOL"/>
            <filter val="Powwi"/>
            <filter val="Red Logística y Gestión SAS"/>
            <filter val="Smartco"/>
            <filter val="Symplifica"/>
            <filter val="TDSynnex"/>
            <filter val="Televideo"/>
            <filter val="Ticket Fast - Tuboleta"/>
            <filter val="TuBoleta"/>
            <filter val="Universidad Nacional - Activo"/>
            <filter val="Virufy"/>
          </filters>
        </filterColumn>
        <filterColumn colId="6">
          <filters>
            <filter val="Activo"/>
          </filters>
        </filterColumn>
        <filterColumn colId="7">
          <filters>
            <filter val="ADRES"/>
            <filter val="Agata"/>
            <filter val="Agata - SDHT"/>
            <filter val="Agata GEB- SDP"/>
            <filter val="Agata- SDHT"/>
            <filter val="Alcadia de Cali"/>
            <filter val="Alcaldía de Cali"/>
            <filter val="Alianza Fiduciaria S.A"/>
            <filter val="AWS Diploma Valitdation"/>
            <filter val="Banco de la República"/>
            <filter val="Banco Interamericano de Desarrollo"/>
            <filter val="Bancoldex"/>
            <filter val="BTG Pactual S.A"/>
            <filter val="Cámara de Comercio de Bogotá"/>
            <filter val="Cámara de Comercio de Cali"/>
            <filter val="CCB- Rearquitectura Aplicaciones"/>
            <filter val="Colcharter IPS S.A.S"/>
            <filter val="Coljuegos S.A"/>
            <filter val="Consejo Superior de la Judicatura"/>
            <filter val="Contraloría General de la República"/>
            <filter val="Cuenta de Alto Costo"/>
            <filter val="Dian"/>
            <filter val="Dirección de Sanidad"/>
            <filter val="Fiduagraria - Multicash"/>
            <filter val="Fiduagraria - Quicksight"/>
            <filter val="Fiduagraria - Snaptask"/>
            <filter val="Fiduagraria- CP Suite"/>
            <filter val="Fiduagraria S.A"/>
            <filter val="Fiduagraria S.A - Multicash"/>
            <filter val="Fiduagraria S.A - Quicksite"/>
            <filter val="Fiduagraria S.A CP Suite"/>
            <filter val="Fiduagraria S.A -Multicash"/>
            <filter val="Fiduagraria S.A -Quicksite"/>
            <filter val="Fiduagraria Snaptask"/>
            <filter val="Fiducoldex"/>
            <filter val="Fiducoldex- Muttu"/>
            <filter val="Financiera de Desarrollo Nacional"/>
            <filter val="FND"/>
            <filter val="Fondo Adaptación"/>
            <filter val="Global Securities S.A"/>
            <filter val="Hackergame"/>
            <filter val="https://drive.google.com/drive/folders/1rv30fY2xBNsisswIEWJjdj5SBlfo0h7e"/>
            <filter val="https://drive.google.com/drive/folders/1Wm1l2IKaoKCK7IWpG8-6V_gtLB9VC1Tx"/>
            <filter val="Icfes"/>
            <filter val="ICFES OPERACIÓN 2024"/>
            <filter val="Inversiones Kappi S.A.S"/>
            <filter val="Justicia Penal Militar"/>
            <filter val="Maint S.A"/>
            <filter val="MDERI"/>
            <filter val="Metro de Medellín"/>
            <filter val="Minciencias POC EVA"/>
            <filter val="Mintic"/>
            <filter val="N.A."/>
            <filter val="NA"/>
            <filter val="Nuvu"/>
            <filter val="Pagos GDE - Licenciamiento"/>
            <filter val="Pagos Gde S.A"/>
            <filter val="Poc Análitica CCB"/>
            <filter val="Policia Nacional"/>
            <filter val="Policía Nacional"/>
            <filter val="Policía Nacional - RMNC"/>
            <filter val="Policía Nacional - Sanidad"/>
            <filter val="Policia Nacional DISAN"/>
            <filter val="Progresión"/>
            <filter val="Proyecto Hermes"/>
            <filter val="PS Arquitectura Proserv"/>
            <filter val="Rendara S.A.S"/>
            <filter val="Secretaria Distrital del Hábitat"/>
            <filter val="Sic"/>
            <filter val="Smartco"/>
            <filter val="SSOC"/>
            <filter val="Superintendencia de Industria y Comercio"/>
            <filter val="Superintendencia de Sociedades"/>
            <filter val="Superservicios"/>
            <filter val="Supersociedades"/>
            <filter val="Televideo S.A.S"/>
            <filter val="Universida Nacional"/>
            <filter val="Universidad Administrativa de Catastro"/>
            <filter val="Universidad de Caldas"/>
            <filter val="Universidad de Caldas- Misión Tic"/>
            <filter val="Universidad del Bosque"/>
            <filter val="Universidad EAFIT"/>
            <filter val="Universidad Nacional"/>
            <filter val="Universidad Nacional- Acuerdo Marco Nube"/>
            <filter val="Universidad Nacional- Contrato 4 de 2023"/>
            <filter val="Universidad Nacional de Colombia"/>
            <filter val="Virufy"/>
            <filter val="Wiity - Carpeta"/>
            <filter val="Witty - Tostao"/>
          </filters>
        </filterColumn>
        <filterColumn colId="8">
          <filters>
            <filter val="007312C-24"/>
            <filter val="Anexo 1 SDHT"/>
            <filter val="Anexo 2"/>
            <filter val="Anexo 2 GEB- SDP"/>
            <filter val="CONT No. 4134.010.26.1.0718-2024"/>
            <filter val="Contrato"/>
            <filter val="Contrato 032- 2021"/>
            <filter val="Contrato 07-7-20052-23"/>
            <filter val="Contrato 07-7-20157-24"/>
            <filter val="Contrato 10"/>
            <filter val="Contrato 3 de 2023"/>
            <filter val="Contrato 4 de 2022"/>
            <filter val="Contrato 4 de 2023"/>
            <filter val="Contrato 4 de 2024"/>
            <filter val="Contrato 71 de 2024"/>
            <filter val="Contrato asociación empresarial"/>
            <filter val="Contrato CAC"/>
            <filter val="Contrato CYCO No 42557"/>
            <filter val="Contrato de suministro de célula ágil"/>
            <filter val="Contrato Hackergame"/>
            <filter val="Contrato Icfes 1055 2024"/>
            <filter val="Contrato Infraestructura Cloud"/>
            <filter val="Contrato Ingenium"/>
            <filter val="Contrato Kappi"/>
            <filter val="Contrato licenciamiento"/>
            <filter val="Contrato No 1558-2024"/>
            <filter val="Contrato No. 1897"/>
            <filter val="Contrato No. 4134.010.26.1.0441-2024"/>
            <filter val="Contrato operación Kappi"/>
            <filter val="Contrato OSJ 2023-0374"/>
            <filter val="Contrato suministro célula ágil"/>
            <filter val="Convenio Contractual 92872-031-2022"/>
            <filter val="Cto 032- 201"/>
            <filter val="Cto 037-2021"/>
            <filter val="Cto 038-2021"/>
            <filter val="Cto 040- 2021"/>
            <filter val="Cto 040-2021"/>
            <filter val="Cto 06-2-10087-21"/>
            <filter val="Cto 06-2-10114-20"/>
            <filter val="Cto 07-7-20062-22"/>
            <filter val="CTO 323 -2024"/>
            <filter val="Cto 6200012960"/>
            <filter val="Cto 6200014036-2022"/>
            <filter val="Cto 6200015056/2023"/>
            <filter val="Cto CP Suite"/>
            <filter val="Cto Imp y Ope Witty- Tostao"/>
            <filter val="Cto Mantenimiento y soporte CP Suite"/>
            <filter val="Cto Muttu 2.0"/>
            <filter val="Cto operación"/>
            <filter val="Cto operación Powwi"/>
            <filter val="Cto PaaS"/>
            <filter val="Cto PS 155-2018"/>
            <filter val="Cto PS 250-2021"/>
            <filter val="Cto SaaS"/>
            <filter val="DIRAF 6-2-10110-22"/>
            <filter val="DISAN 07-7-20026-20"/>
            <filter val="DISAN 07-7-20058-21"/>
            <filter val="Disan 07-7-20062-22"/>
            <filter val="Gestión de Información"/>
            <filter val="N.A."/>
            <filter val="NA"/>
            <filter val="NDA CCC"/>
            <filter val="Número de Orden:133270"/>
            <filter val="OC 100487"/>
            <filter val="OC 100514"/>
            <filter val="OC 113430"/>
            <filter val="OC 117849"/>
            <filter val="OC 118311"/>
            <filter val="OC 119661"/>
            <filter val="OC 119973"/>
            <filter val="OC 120542"/>
            <filter val="OC 120557"/>
            <filter val="OC 122576"/>
            <filter val="OC 124317"/>
            <filter val="OC 126506"/>
            <filter val="OC 128682"/>
            <filter val="OC 135564"/>
            <filter val="OC 139384"/>
            <filter val="OC 140133"/>
            <filter val="OC 142744"/>
            <filter val="OC 43474"/>
            <filter val="OC 54918"/>
            <filter val="OC 72329"/>
            <filter val="OC 83913"/>
            <filter val="OC 90221"/>
            <filter val="OC 93502"/>
            <filter val="OC108928"/>
            <filter val="OC114255"/>
            <filter val="OC118311"/>
            <filter val="OC125160"/>
            <filter val="ODS 131"/>
            <filter val="ODS 1346 de 2022"/>
            <filter val="ODS 1512-2024"/>
            <filter val="ODS 159 de 2023"/>
            <filter val="ODS 420 de 2024"/>
            <filter val="ODS 874 de 2023"/>
            <filter val="OEF 3"/>
            <filter val="Oferta Comercial ENE23-2025"/>
            <filter val="Operacion.MTU"/>
            <filter val="OSE 104 NC HTS"/>
            <filter val="OSE 108"/>
            <filter val="OSE 113 DE 2021"/>
            <filter val="OSE 124 de 2022"/>
            <filter val="OSE 125 de 2022"/>
            <filter val="OSE 126519"/>
            <filter val="OSE 336 de 2023"/>
            <filter val="Ose 4 de 2023"/>
            <filter val="OSE 5"/>
            <filter val="OSE 9 de 2024"/>
            <filter val="OSE 90 4001 2024 SOL 20036"/>
            <filter val="OSE 93 4001 2024 SOL 19973"/>
            <filter val="OSE No 44"/>
            <filter val="OSE No 53011372"/>
            <filter val="OSE No 96 2024"/>
            <filter val="OSE No10 2024"/>
            <filter val="OSE No269 2024"/>
            <filter val="OSE No71 del 2024"/>
            <filter val="OSE_79_1001"/>
            <filter val="OSEA 4 de 2024"/>
            <filter val="Otrosí 2 No Contrato 037 de 2021"/>
            <filter val="OTROSI 3 CTO 037-2021"/>
            <filter val="OTROSI 3 CTO 038-2021"/>
            <filter val="OTROSI 4 CTO 032-2021. HIGH TECH"/>
            <filter val="OtroSi Anexo 1 SDHT"/>
            <filter val="Otrosi No 1"/>
            <filter val="Otrosí No 1"/>
            <filter val="Otrosi No 2 Contrato 032 de 2021"/>
            <filter val="Otrosí No 2 Contrato 038 de 2021"/>
            <filter val="Otrosí No 2 Contrato 040 de 2021"/>
            <filter val="Pedido 4402414"/>
            <filter val="Pedido 4402419"/>
            <filter val="Pedido 4402476"/>
            <filter val="POC - Análisis de llamadas"/>
            <filter val="POC - Auditoria Inteligente"/>
            <filter val="POC - Giro Directo"/>
            <filter val="POC - GRDs"/>
            <filter val="POC - HealthLake"/>
            <filter val="PoC ACI Pagos Inmediatos"/>
            <filter val="POC Agente Cognitivo"/>
            <filter val="Propuesta Backups"/>
            <filter val="PURCHASE ORDER NO. 7000019059"/>
            <filter val="SOW"/>
            <filter val="Sow 2023"/>
            <filter val="Sow Agata Español"/>
            <filter val="Sow mayo 2023"/>
            <filter val="Sow Proserv"/>
          </filters>
        </filterColumn>
      </autoFilter>
    </customSheetView>
    <customSheetView guid="{C2A40437-BAE0-4F26-ACAF-6F0017D04B0D}" filter="1" showAutoFilter="1">
      <pageMargins left="0" right="0" top="0" bottom="0" header="0" footer="0"/>
      <autoFilter ref="A1:K192" xr:uid="{40C8FF0E-F8BD-4FF0-A810-39397EEDC33E}">
        <filterColumn colId="6">
          <filters>
            <filter val="Activo"/>
          </filters>
        </filterColumn>
      </autoFilter>
    </customSheetView>
    <customSheetView guid="{0ADB96AF-DF7A-4D3E-A1AC-4F7A5800CA8A}" filter="1" showAutoFilter="1">
      <pageMargins left="0" right="0" top="0" bottom="0" header="0" footer="0"/>
      <autoFilter ref="A1:K226" xr:uid="{F7DC93CB-6302-4E04-A012-2A8E91D74CB0}">
        <filterColumn colId="6">
          <filters>
            <filter val="Activo"/>
          </filters>
        </filterColumn>
      </autoFilter>
    </customSheetView>
    <customSheetView guid="{5EEFE65C-87B5-40E0-ABA5-7E8C4B686897}" filter="1" showAutoFilter="1">
      <pageMargins left="0" right="0" top="0" bottom="0" header="0" footer="0"/>
      <autoFilter ref="A1:K226" xr:uid="{D8C23434-617C-4E9D-9216-CA1676AB2ABD}">
        <filterColumn colId="6">
          <filters>
            <filter val="Inactivo"/>
          </filters>
        </filterColumn>
      </autoFilter>
    </customSheetView>
    <customSheetView guid="{0522A299-0340-41A3-9D53-6211AE6368DD}" filter="1" showAutoFilter="1">
      <pageMargins left="0" right="0" top="0" bottom="0" header="0" footer="0"/>
      <autoFilter ref="A1:K192" xr:uid="{FE85A60F-6D53-4507-824E-487EDC3B778D}">
        <filterColumn colId="5">
          <filters>
            <filter val="A la Caja"/>
            <filter val="Acttiva"/>
            <filter val="Alianza"/>
            <filter val="AlterU"/>
            <filter val="Avanzo"/>
            <filter val="BTG"/>
            <filter val="Camara de Comercio de Bogotá"/>
            <filter val="Colcharter"/>
            <filter val="Compensar"/>
            <filter val="Contraloría"/>
            <filter val="Credicorp"/>
            <filter val="DING - Tecnipagos"/>
            <filter val="Fiduagraria"/>
            <filter val="Global Securities"/>
            <filter val="Innpulsa"/>
            <filter val="Koia"/>
            <filter val="MinTic"/>
            <filter val="Nueva Eps"/>
            <filter val="Policia Nacional"/>
            <filter val="Powwi"/>
            <filter val="Red Logística y Gestión SAS"/>
            <filter val="Rendara"/>
            <filter val="Sanidad"/>
            <filter val="SIC"/>
            <filter val="Smartco"/>
            <filter val="Superintendencia de Sociedades"/>
            <filter val="Symplifica"/>
            <filter val="Televideo"/>
            <filter val="Ticket Fast - Tuboleta"/>
            <filter val="TuBoleta"/>
            <filter val="UBosque"/>
            <filter val="Universidad de Caldas"/>
            <filter val="Universidad Nacional de Colombia"/>
            <filter val="Virufy"/>
            <filter val="Witty"/>
          </filters>
        </filterColumn>
        <filterColumn colId="6">
          <filters>
            <filter val="Activo"/>
          </filters>
        </filterColumn>
      </autoFilter>
    </customSheetView>
    <customSheetView guid="{C9A6BF18-06DA-4FBA-8727-0834C359986B}" filter="1" showAutoFilter="1">
      <pageMargins left="0" right="0" top="0" bottom="0" header="0" footer="0"/>
      <autoFilter ref="A1:K324" xr:uid="{672FA4A7-BE61-439B-A962-722130B85BF8}"/>
    </customSheetView>
    <customSheetView guid="{3C08EC19-BBBB-4F9C-8BC7-2E8F20C6F4CF}" filter="1" showAutoFilter="1">
      <pageMargins left="0" right="0" top="0" bottom="0" header="0" footer="0"/>
      <autoFilter ref="A1:K192" xr:uid="{05166AF9-F310-47A4-8884-BD6D369AAB47}"/>
    </customSheetView>
  </customSheetViews>
  <phoneticPr fontId="4" type="noConversion"/>
  <conditionalFormatting sqref="C196:C199">
    <cfRule type="containsBlanks" dxfId="321" priority="223">
      <formula>LEN(TRIM(C196))=0</formula>
    </cfRule>
  </conditionalFormatting>
  <conditionalFormatting sqref="C213 C233:C235">
    <cfRule type="containsBlanks" dxfId="320" priority="146">
      <formula>LEN(TRIM(C213))=0</formula>
    </cfRule>
  </conditionalFormatting>
  <conditionalFormatting sqref="C272:C273">
    <cfRule type="containsBlanks" dxfId="319" priority="89">
      <formula>LEN(TRIM(C272))=0</formula>
    </cfRule>
  </conditionalFormatting>
  <conditionalFormatting sqref="C275:C277">
    <cfRule type="containsBlanks" dxfId="318" priority="55">
      <formula>LEN(TRIM(C275))=0</formula>
    </cfRule>
  </conditionalFormatting>
  <conditionalFormatting sqref="C271:D271">
    <cfRule type="containsBlanks" dxfId="317" priority="103">
      <formula>LEN(TRIM(C271))=0</formula>
    </cfRule>
  </conditionalFormatting>
  <conditionalFormatting sqref="C172:F173 C174:D174">
    <cfRule type="containsBlanks" dxfId="316" priority="234">
      <formula>LEN(TRIM(C172))=0</formula>
    </cfRule>
  </conditionalFormatting>
  <conditionalFormatting sqref="C270:F270">
    <cfRule type="containsBlanks" dxfId="315" priority="110">
      <formula>LEN(TRIM(C270))=0</formula>
    </cfRule>
  </conditionalFormatting>
  <conditionalFormatting sqref="C274:F274">
    <cfRule type="containsBlanks" dxfId="314" priority="76">
      <formula>LEN(TRIM(C274))=0</formula>
    </cfRule>
  </conditionalFormatting>
  <conditionalFormatting sqref="D236:D240">
    <cfRule type="containsBlanks" dxfId="313" priority="157">
      <formula>LEN(TRIM(D236))=0</formula>
    </cfRule>
  </conditionalFormatting>
  <conditionalFormatting sqref="D272:D273">
    <cfRule type="containsBlanks" dxfId="312" priority="97">
      <formula>LEN(TRIM(D272))=0</formula>
    </cfRule>
  </conditionalFormatting>
  <conditionalFormatting sqref="D153:G153">
    <cfRule type="containsBlanks" dxfId="311" priority="655">
      <formula>LEN(TRIM(D153))=0</formula>
    </cfRule>
  </conditionalFormatting>
  <conditionalFormatting sqref="E42:E43 E46 E49 E51 E56 E58 E61 E63 E67:E68 E70 E72 E75:E78 E84 E88 E91 E93 E97 E99:E100 E103:E104 E109 E111:E114 E116:E118 E121 E126 E131:E132 E136 E139 E141 E143 E149 E164 E169 E183:E185 E188 E192 E202:E203 E206:E207 E212 E217 E221 E225:E229 E233 E236 E239 E241 E245 E251 E254:E255 E257 E261">
    <cfRule type="containsBlanks" dxfId="310" priority="119">
      <formula>LEN(TRIM(E42))=0</formula>
    </cfRule>
  </conditionalFormatting>
  <conditionalFormatting sqref="E124 E125:F125">
    <cfRule type="containsBlanks" dxfId="309" priority="673">
      <formula>LEN(TRIM(E124))=0</formula>
    </cfRule>
  </conditionalFormatting>
  <conditionalFormatting sqref="E166 E171 E190 E194 E196:E199 E209 E215">
    <cfRule type="containsBlanks" dxfId="308" priority="122">
      <formula>LEN(TRIM(E166))=0</formula>
    </cfRule>
  </conditionalFormatting>
  <conditionalFormatting sqref="E272">
    <cfRule type="containsBlanks" dxfId="307" priority="90">
      <formula>LEN(TRIM(E272))=0</formula>
    </cfRule>
  </conditionalFormatting>
  <conditionalFormatting sqref="E275:E277">
    <cfRule type="containsBlanks" dxfId="306" priority="47">
      <formula>LEN(TRIM(E275))=0</formula>
    </cfRule>
  </conditionalFormatting>
  <conditionalFormatting sqref="E195:G195">
    <cfRule type="containsBlanks" dxfId="305" priority="224">
      <formula>LEN(TRIM(E195))=0</formula>
    </cfRule>
  </conditionalFormatting>
  <conditionalFormatting sqref="E271:H271">
    <cfRule type="containsBlanks" dxfId="304" priority="104">
      <formula>LEN(TRIM(E271))=0</formula>
    </cfRule>
  </conditionalFormatting>
  <conditionalFormatting sqref="F2:F5 G3:G5">
    <cfRule type="containsBlanks" dxfId="303" priority="622">
      <formula>LEN(TRIM(F2))=0</formula>
    </cfRule>
  </conditionalFormatting>
  <conditionalFormatting sqref="F35:F37">
    <cfRule type="containsBlanks" dxfId="302" priority="237">
      <formula>LEN(TRIM(F35))=0</formula>
    </cfRule>
  </conditionalFormatting>
  <conditionalFormatting sqref="F196:F199">
    <cfRule type="containsBlanks" dxfId="301" priority="217">
      <formula>LEN(TRIM(F196))=0</formula>
    </cfRule>
  </conditionalFormatting>
  <conditionalFormatting sqref="F201:F213 F233:F235">
    <cfRule type="containsBlanks" dxfId="300" priority="145">
      <formula>LEN(TRIM(F201))=0</formula>
    </cfRule>
  </conditionalFormatting>
  <conditionalFormatting sqref="F218">
    <cfRule type="containsBlanks" dxfId="299" priority="199">
      <formula>LEN(TRIM(F218))=0</formula>
    </cfRule>
  </conditionalFormatting>
  <conditionalFormatting sqref="F272:F273">
    <cfRule type="containsBlanks" dxfId="298" priority="91">
      <formula>LEN(TRIM(F272))=0</formula>
    </cfRule>
  </conditionalFormatting>
  <conditionalFormatting sqref="F275:F279">
    <cfRule type="containsBlanks" dxfId="297" priority="36">
      <formula>LEN(TRIM(F275))=0</formula>
    </cfRule>
  </conditionalFormatting>
  <conditionalFormatting sqref="F6:G7 F8 O8:O11 F9:G11 F12:F13 F16 F17:G19 F20 F21:G21 F22 F23:G25 F26:F27 F28:G31 E153:E158 G154:G158 G161:G163 J161:J163 F161:F168 M161:M168 C161:C171 G237:H238 H239 G240:H240">
    <cfRule type="containsBlanks" dxfId="296" priority="805">
      <formula>LEN(TRIM(C6))=0</formula>
    </cfRule>
  </conditionalFormatting>
  <conditionalFormatting sqref="G34:G36 G38:G41 G47:G48 G59:G60 G64:G66 G85:G87 G94:G96 G101:G102 G105:G108 G127:G130 G133:G135 G144:G148 G150:G151 G170:G173 G178:G182 G189:G191 G193:G194 G196:G201 G218:G220 G222:G227 G230:G232 G246:G250 G258:G260">
    <cfRule type="containsBlanks" dxfId="295" priority="120">
      <formula>LEN(TRIM(G34))=0</formula>
    </cfRule>
  </conditionalFormatting>
  <conditionalFormatting sqref="G44:G45 G57 G62 G69 G73:G74 G79:G83 G89:G90 G110 G119 G122 G124:G125 G137:G138 G234:G235 G242:G244 G256 G262:G264">
    <cfRule type="containsBlanks" dxfId="294" priority="123">
      <formula>LEN(TRIM(G44))=0</formula>
    </cfRule>
  </conditionalFormatting>
  <conditionalFormatting sqref="G50 G71 G92 G98 G115 G140 G142 G186:G187">
    <cfRule type="containsBlanks" dxfId="293" priority="125">
      <formula>LEN(TRIM(G50))=0</formula>
    </cfRule>
  </conditionalFormatting>
  <conditionalFormatting sqref="G52:G55 G165:G168 G203:G206 G208:G211 G213:G216 G252:G254">
    <cfRule type="containsBlanks" dxfId="292" priority="121">
      <formula>LEN(TRIM(G52))=0</formula>
    </cfRule>
  </conditionalFormatting>
  <conditionalFormatting sqref="G270">
    <cfRule type="containsBlanks" dxfId="291" priority="105">
      <formula>LEN(TRIM(G270))=0</formula>
    </cfRule>
  </conditionalFormatting>
  <conditionalFormatting sqref="G272:G274">
    <cfRule type="containsBlanks" dxfId="290" priority="73">
      <formula>LEN(TRIM(G272))=0</formula>
    </cfRule>
  </conditionalFormatting>
  <conditionalFormatting sqref="G278:G279">
    <cfRule type="containsBlanks" dxfId="289" priority="32">
      <formula>LEN(TRIM(G278))=0</formula>
    </cfRule>
  </conditionalFormatting>
  <conditionalFormatting sqref="G281">
    <cfRule type="containsBlanks" dxfId="288" priority="8">
      <formula>LEN(TRIM(G281))=0</formula>
    </cfRule>
  </conditionalFormatting>
  <conditionalFormatting sqref="H218:H224">
    <cfRule type="containsBlanks" dxfId="287" priority="175">
      <formula>LEN(TRIM(H218))=0</formula>
    </cfRule>
  </conditionalFormatting>
  <conditionalFormatting sqref="H233:H236">
    <cfRule type="containsBlanks" dxfId="286" priority="144">
      <formula>LEN(TRIM(H233))=0</formula>
    </cfRule>
  </conditionalFormatting>
  <conditionalFormatting sqref="H249:H252">
    <cfRule type="containsBlanks" dxfId="285" priority="16">
      <formula>LEN(TRIM(H249))=0</formula>
    </cfRule>
  </conditionalFormatting>
  <conditionalFormatting sqref="H264 N264">
    <cfRule type="containsBlanks" dxfId="284" priority="130">
      <formula>LEN(TRIM(H264))=0</formula>
    </cfRule>
  </conditionalFormatting>
  <conditionalFormatting sqref="H270">
    <cfRule type="containsBlanks" dxfId="283" priority="111">
      <formula>LEN(TRIM(H270))=0</formula>
    </cfRule>
  </conditionalFormatting>
  <conditionalFormatting sqref="H272:H279">
    <cfRule type="containsBlanks" dxfId="282" priority="37">
      <formula>LEN(TRIM(H272))=0</formula>
    </cfRule>
  </conditionalFormatting>
  <conditionalFormatting sqref="I2:I181 I280">
    <cfRule type="cellIs" dxfId="281" priority="822" operator="equal">
      <formula>"Activo"</formula>
    </cfRule>
    <cfRule type="cellIs" dxfId="280" priority="823" operator="equal">
      <formula>"Inactivo"</formula>
    </cfRule>
  </conditionalFormatting>
  <conditionalFormatting sqref="I15:I17">
    <cfRule type="containsBlanks" dxfId="279" priority="164">
      <formula>LEN(TRIM(I15))=0</formula>
    </cfRule>
  </conditionalFormatting>
  <conditionalFormatting sqref="I22:I23">
    <cfRule type="containsBlanks" dxfId="278" priority="677">
      <formula>LEN(TRIM(I22))=0</formula>
    </cfRule>
  </conditionalFormatting>
  <conditionalFormatting sqref="I28:I76">
    <cfRule type="containsBlanks" dxfId="277" priority="15">
      <formula>LEN(TRIM(I28))=0</formula>
    </cfRule>
  </conditionalFormatting>
  <conditionalFormatting sqref="I80:I194">
    <cfRule type="containsBlanks" dxfId="276" priority="14">
      <formula>LEN(TRIM(I80))=0</formula>
    </cfRule>
  </conditionalFormatting>
  <conditionalFormatting sqref="I182:I264">
    <cfRule type="cellIs" dxfId="275" priority="131" operator="equal">
      <formula>"Activo"</formula>
    </cfRule>
    <cfRule type="cellIs" dxfId="274" priority="132" operator="equal">
      <formula>"Inactivo"</formula>
    </cfRule>
  </conditionalFormatting>
  <conditionalFormatting sqref="I196:I269 I78">
    <cfRule type="containsBlanks" dxfId="273" priority="142">
      <formula>LEN(TRIM(I78))=0</formula>
    </cfRule>
  </conditionalFormatting>
  <conditionalFormatting sqref="I264">
    <cfRule type="containsBlanks" dxfId="272" priority="129">
      <formula>LEN(TRIM(I264))=0</formula>
    </cfRule>
  </conditionalFormatting>
  <conditionalFormatting sqref="I265:I270">
    <cfRule type="cellIs" dxfId="271" priority="114" operator="equal">
      <formula>"Activo"</formula>
    </cfRule>
    <cfRule type="cellIs" dxfId="270" priority="115" operator="equal">
      <formula>"Inactivo"</formula>
    </cfRule>
  </conditionalFormatting>
  <conditionalFormatting sqref="I270:I279">
    <cfRule type="containsBlanks" dxfId="269" priority="35">
      <formula>LEN(TRIM(I270))=0</formula>
    </cfRule>
  </conditionalFormatting>
  <conditionalFormatting sqref="I271:I274">
    <cfRule type="cellIs" dxfId="268" priority="82" operator="equal">
      <formula>"Activo"</formula>
    </cfRule>
    <cfRule type="cellIs" dxfId="267" priority="83" operator="equal">
      <formula>"Inactivo"</formula>
    </cfRule>
  </conditionalFormatting>
  <conditionalFormatting sqref="I275:I277">
    <cfRule type="cellIs" dxfId="266" priority="57" operator="equal">
      <formula>"Activo"</formula>
    </cfRule>
    <cfRule type="cellIs" dxfId="265" priority="58" operator="equal">
      <formula>"Inactivo"</formula>
    </cfRule>
  </conditionalFormatting>
  <conditionalFormatting sqref="I278:I279">
    <cfRule type="cellIs" dxfId="264" priority="33" operator="equal">
      <formula>"Activo"</formula>
    </cfRule>
    <cfRule type="cellIs" dxfId="263" priority="34" operator="equal">
      <formula>"Inactivo"</formula>
    </cfRule>
  </conditionalFormatting>
  <conditionalFormatting sqref="I281:I284">
    <cfRule type="cellIs" dxfId="262" priority="2" operator="equal">
      <formula>"Activo"</formula>
    </cfRule>
    <cfRule type="cellIs" dxfId="261" priority="3" operator="equal">
      <formula>"Inactivo"</formula>
    </cfRule>
    <cfRule type="containsBlanks" dxfId="260" priority="4">
      <formula>LEN(TRIM(I281))=0</formula>
    </cfRule>
  </conditionalFormatting>
  <conditionalFormatting sqref="I36:J38 M36:M38 I39:M39 M70:M76 M78 M80:M81 I84:J88 M84:M88 I89:M95 I96:J96 M96 I97:M103 I104:J118 C124:C125 S129:S155">
    <cfRule type="containsBlanks" dxfId="259" priority="778">
      <formula>LEN(TRIM(C36))=0</formula>
    </cfRule>
  </conditionalFormatting>
  <conditionalFormatting sqref="I50:J58 M63:M64 I63:J67 F116:F119 F120:G120 F121:F122 F123:G123 F124">
    <cfRule type="containsBlanks" dxfId="258" priority="624">
      <formula>LEN(TRIM(F50))=0</formula>
    </cfRule>
  </conditionalFormatting>
  <conditionalFormatting sqref="I70:J76">
    <cfRule type="containsBlanks" dxfId="257" priority="523">
      <formula>LEN(TRIM(I70))=0</formula>
    </cfRule>
  </conditionalFormatting>
  <conditionalFormatting sqref="I78:J78">
    <cfRule type="containsBlanks" dxfId="256" priority="522">
      <formula>LEN(TRIM(I78))=0</formula>
    </cfRule>
  </conditionalFormatting>
  <conditionalFormatting sqref="I80:J81">
    <cfRule type="containsBlanks" dxfId="255" priority="520">
      <formula>LEN(TRIM(I80))=0</formula>
    </cfRule>
  </conditionalFormatting>
  <conditionalFormatting sqref="I195:K195 F1:M1 G2:M2 H3:M6 H7:J7 K7:M8 I8:J8 C32:F34 C35:D35 C36:E37 C38:F41 I40:K49 L40:M62 C42:D43 F42:F43 C44:F45 C46:D46 F46 C47:F48 C49:D49 F49 C50:F50 C51:D51 F51 C52:F55 C56:D56 F56 C57:F57 C58:D58 F58 C59:F60 I59:K62 C61:D61 F61 C62:F62 C63:D63 F63 C64:F66 L65:M67 C67:D68 F67:F68 C69:F69 C70:D70 F70 C71:F71 C72:D72 F72 C73:F74 C75:D78 F75:F78 C79:F83 I82:M83 C84:D84 F84 C85:F87 C88:D88 F88 C89:F90 C91:D91 F91 C92:F92 C93:D93 F93 C94:F96 C97:D97 F97 C98:F98 C99:D100 F99:F100 C101:F102 C103:D104 F103:F104 C105:F108 C109:D109 F109 C110:F110 C111:D114 F111:F114 C115:F115 C116:D118 C119:E120 K120:M123 C121:D121 C122:E123 L124:M125 C126:D126 F126 A126:B154 C127:F130 C131:D132 F131:F132 L132:M133 C133:F135 M134 L135:M135 C136:D136 F136 C137:F138 C139:D139 F139 C140:F140 C141:D141 F141 C142:F142 L142:M156 C143:D143 F143 C144:F148 I147:K152 C149:D149 F149 C150:F151 C152:G152 J153:K153 C153:C158 A157:B163 C159:G160 A171:B171 L171:N171 M174:M175 A195:C195 L195:N199 A222:F224">
    <cfRule type="containsBlanks" dxfId="254" priority="635">
      <formula>LEN(TRIM(A1))=0</formula>
    </cfRule>
  </conditionalFormatting>
  <conditionalFormatting sqref="I68:M69 O68:O69 I130:M131 O130:O131">
    <cfRule type="containsBlanks" dxfId="253" priority="208">
      <formula>LEN(TRIM(I68))=0</formula>
    </cfRule>
  </conditionalFormatting>
  <conditionalFormatting sqref="I77:M77">
    <cfRule type="containsBlanks" dxfId="252" priority="319">
      <formula>LEN(TRIM(I77))=0</formula>
    </cfRule>
  </conditionalFormatting>
  <conditionalFormatting sqref="I79:M79">
    <cfRule type="containsBlanks" dxfId="251" priority="318">
      <formula>LEN(TRIM(I79))=0</formula>
    </cfRule>
  </conditionalFormatting>
  <conditionalFormatting sqref="I264:M264">
    <cfRule type="containsBlanks" dxfId="250" priority="128">
      <formula>LEN(TRIM(I264))=0</formula>
    </cfRule>
  </conditionalFormatting>
  <conditionalFormatting sqref="I270:M270">
    <cfRule type="containsBlanks" dxfId="249" priority="109">
      <formula>LEN(TRIM(I270))=0</formula>
    </cfRule>
  </conditionalFormatting>
  <conditionalFormatting sqref="I274:M274">
    <cfRule type="containsBlanks" dxfId="248" priority="78">
      <formula>LEN(TRIM(I274))=0</formula>
    </cfRule>
  </conditionalFormatting>
  <conditionalFormatting sqref="J196:J199">
    <cfRule type="containsBlanks" dxfId="247" priority="214">
      <formula>LEN(TRIM(J196))=0</formula>
    </cfRule>
  </conditionalFormatting>
  <conditionalFormatting sqref="J222:J224">
    <cfRule type="containsBlanks" dxfId="246" priority="174">
      <formula>LEN(TRIM(J222))=0</formula>
    </cfRule>
  </conditionalFormatting>
  <conditionalFormatting sqref="J236:J240">
    <cfRule type="containsBlanks" dxfId="245" priority="156">
      <formula>LEN(TRIM(J236))=0</formula>
    </cfRule>
  </conditionalFormatting>
  <conditionalFormatting sqref="J249:J252">
    <cfRule type="containsBlanks" dxfId="244" priority="13">
      <formula>LEN(TRIM(J249))=0</formula>
    </cfRule>
  </conditionalFormatting>
  <conditionalFormatting sqref="J275:J277">
    <cfRule type="containsBlanks" dxfId="243" priority="50">
      <formula>LEN(TRIM(J275))=0</formula>
    </cfRule>
  </conditionalFormatting>
  <conditionalFormatting sqref="J157:M160">
    <cfRule type="containsBlanks" dxfId="242" priority="626">
      <formula>LEN(TRIM(J157))=0</formula>
    </cfRule>
  </conditionalFormatting>
  <conditionalFormatting sqref="J271:M273">
    <cfRule type="containsBlanks" dxfId="241" priority="84">
      <formula>LEN(TRIM(J271))=0</formula>
    </cfRule>
  </conditionalFormatting>
  <conditionalFormatting sqref="K36:L37">
    <cfRule type="containsBlanks" dxfId="240" priority="555">
      <formula>LEN(TRIM(K36))=0</formula>
    </cfRule>
  </conditionalFormatting>
  <conditionalFormatting sqref="K236:M240 S236:S240">
    <cfRule type="containsBlanks" dxfId="239" priority="152">
      <formula>LEN(TRIM(K236))=0</formula>
    </cfRule>
  </conditionalFormatting>
  <conditionalFormatting sqref="L28 L97:L103 I124:J129 M126:M129 I132:J135 I142:J146">
    <cfRule type="containsBlanks" dxfId="238" priority="619">
      <formula>LEN(TRIM(I28))=0</formula>
    </cfRule>
  </conditionalFormatting>
  <conditionalFormatting sqref="L36:L38 L172:L175 L181 L219:L221">
    <cfRule type="containsBlanks" dxfId="237" priority="135">
      <formula>LEN(TRIM(L36))=0</formula>
    </cfRule>
  </conditionalFormatting>
  <conditionalFormatting sqref="L69 I136:M141 L159:L160">
    <cfRule type="containsBlanks" dxfId="236" priority="165">
      <formula>LEN(TRIM(I69))=0</formula>
    </cfRule>
  </conditionalFormatting>
  <conditionalFormatting sqref="L89:L91">
    <cfRule type="containsBlanks" dxfId="235" priority="139">
      <formula>LEN(TRIM(L89))=0</formula>
    </cfRule>
  </conditionalFormatting>
  <conditionalFormatting sqref="L130:L131">
    <cfRule type="containsBlanks" dxfId="234" priority="138">
      <formula>LEN(TRIM(L130))=0</formula>
    </cfRule>
  </conditionalFormatting>
  <conditionalFormatting sqref="L138:L139">
    <cfRule type="containsBlanks" dxfId="233" priority="137">
      <formula>LEN(TRIM(L138))=0</formula>
    </cfRule>
  </conditionalFormatting>
  <conditionalFormatting sqref="L164:L168">
    <cfRule type="containsBlanks" dxfId="232" priority="168">
      <formula>LEN(TRIM(L164))=0</formula>
    </cfRule>
  </conditionalFormatting>
  <conditionalFormatting sqref="L205:L216">
    <cfRule type="containsBlanks" dxfId="231" priority="26">
      <formula>LEN(TRIM(L205))=0</formula>
    </cfRule>
  </conditionalFormatting>
  <conditionalFormatting sqref="L236:L240">
    <cfRule type="containsBlanks" dxfId="230" priority="136">
      <formula>LEN(TRIM(L236))=0</formula>
    </cfRule>
  </conditionalFormatting>
  <conditionalFormatting sqref="L253:L258">
    <cfRule type="containsBlanks" dxfId="229" priority="22">
      <formula>LEN(TRIM(L253))=0</formula>
    </cfRule>
  </conditionalFormatting>
  <conditionalFormatting sqref="L264:L270">
    <cfRule type="containsBlanks" dxfId="228" priority="17">
      <formula>LEN(TRIM(L264))=0</formula>
    </cfRule>
  </conditionalFormatting>
  <conditionalFormatting sqref="L275:M277">
    <cfRule type="containsBlanks" dxfId="227" priority="46">
      <formula>LEN(TRIM(L275))=0</formula>
    </cfRule>
  </conditionalFormatting>
  <conditionalFormatting sqref="M104:M119">
    <cfRule type="containsBlanks" dxfId="226" priority="1">
      <formula>LEN(TRIM(M104))=0</formula>
    </cfRule>
  </conditionalFormatting>
  <conditionalFormatting sqref="M201:M204">
    <cfRule type="containsBlanks" dxfId="225" priority="6">
      <formula>LEN(TRIM(M201))=0</formula>
    </cfRule>
  </conditionalFormatting>
  <conditionalFormatting sqref="M222:M224">
    <cfRule type="containsBlanks" dxfId="224" priority="173">
      <formula>LEN(TRIM(M222))=0</formula>
    </cfRule>
  </conditionalFormatting>
  <conditionalFormatting sqref="M241:M247">
    <cfRule type="containsBlanks" dxfId="223" priority="148">
      <formula>LEN(TRIM(M241))=0</formula>
    </cfRule>
  </conditionalFormatting>
  <conditionalFormatting sqref="M172:N173">
    <cfRule type="containsBlanks" dxfId="222" priority="342">
      <formula>LEN(TRIM(M172))=0</formula>
    </cfRule>
  </conditionalFormatting>
  <conditionalFormatting sqref="N181:N185 N187:N194 N205:N208 N214:N217 N219:N224 N253:N258">
    <cfRule type="containsBlanks" dxfId="221" priority="133">
      <formula>LEN(TRIM(N181))=0</formula>
    </cfRule>
  </conditionalFormatting>
  <conditionalFormatting sqref="N236:N243">
    <cfRule type="containsBlanks" dxfId="220" priority="158">
      <formula>LEN(TRIM(N236))=0</formula>
    </cfRule>
  </conditionalFormatting>
  <conditionalFormatting sqref="N270:N277">
    <cfRule type="containsBlanks" dxfId="219" priority="48">
      <formula>LEN(TRIM(N270))=0</formula>
    </cfRule>
  </conditionalFormatting>
  <conditionalFormatting sqref="O20:O25 O45">
    <cfRule type="containsBlanks" dxfId="218" priority="813">
      <formula>LEN(TRIM(O20))=0</formula>
    </cfRule>
  </conditionalFormatting>
  <conditionalFormatting sqref="O154">
    <cfRule type="containsBlanks" dxfId="217" priority="656">
      <formula>LEN(TRIM(O154))=0</formula>
    </cfRule>
  </conditionalFormatting>
  <conditionalFormatting sqref="O236:O249">
    <cfRule type="containsBlanks" dxfId="216" priority="5">
      <formula>LEN(TRIM(O236))=0</formula>
    </cfRule>
  </conditionalFormatting>
  <conditionalFormatting sqref="O264:O273">
    <cfRule type="containsBlanks" dxfId="215" priority="86">
      <formula>LEN(TRIM(O264))=0</formula>
    </cfRule>
  </conditionalFormatting>
  <conditionalFormatting sqref="O281">
    <cfRule type="containsBlanks" dxfId="214" priority="12">
      <formula>LEN(TRIM(O281))=0</formula>
    </cfRule>
  </conditionalFormatting>
  <conditionalFormatting sqref="O1:S1">
    <cfRule type="containsText" dxfId="213" priority="849" operator="containsText" text="PENDIENTE">
      <formula>NOT(ISERROR(SEARCH(("PENDIENTE"),(O1))))</formula>
    </cfRule>
  </conditionalFormatting>
  <conditionalFormatting sqref="Q274:R274">
    <cfRule type="containsBlanks" dxfId="212" priority="80">
      <formula>LEN(TRIM(Q274))=0</formula>
    </cfRule>
    <cfRule type="containsText" dxfId="211" priority="81" operator="containsText" text="Sin Asignar">
      <formula>NOT(ISERROR(SEARCH("Sin Asignar",Q274)))</formula>
    </cfRule>
  </conditionalFormatting>
  <conditionalFormatting sqref="Q2:S53 Q171:S179 Q270">
    <cfRule type="containsBlanks" dxfId="210" priority="112">
      <formula>LEN(TRIM(Q2))=0</formula>
    </cfRule>
    <cfRule type="containsText" dxfId="209" priority="113" operator="containsText" text="Sin Asignar">
      <formula>NOT(ISERROR(SEARCH("Sin Asignar",Q2)))</formula>
    </cfRule>
  </conditionalFormatting>
  <conditionalFormatting sqref="Q108:S156 S54:S68 S70:S107 Q159:S160 Q54:R107">
    <cfRule type="containsBlanks" dxfId="208" priority="808">
      <formula>LEN(TRIM(Q54))=0</formula>
    </cfRule>
    <cfRule type="containsText" dxfId="207" priority="809" operator="containsText" text="Sin Asignar">
      <formula>NOT(ISERROR(SEARCH("Sin Asignar",Q54)))</formula>
    </cfRule>
  </conditionalFormatting>
  <conditionalFormatting sqref="Q195:S199">
    <cfRule type="containsBlanks" dxfId="206" priority="221">
      <formula>LEN(TRIM(Q195))=0</formula>
    </cfRule>
    <cfRule type="containsText" dxfId="205" priority="222" operator="containsText" text="Sin Asignar">
      <formula>NOT(ISERROR(SEARCH("Sin Asignar",Q195)))</formula>
    </cfRule>
  </conditionalFormatting>
  <conditionalFormatting sqref="Q236:S240">
    <cfRule type="containsBlanks" dxfId="204" priority="153">
      <formula>LEN(TRIM(Q236))=0</formula>
    </cfRule>
    <cfRule type="containsText" dxfId="203" priority="154" operator="containsText" text="Sin Asignar">
      <formula>NOT(ISERROR(SEARCH("Sin Asignar",Q236)))</formula>
    </cfRule>
  </conditionalFormatting>
  <conditionalFormatting sqref="Q275:S276">
    <cfRule type="containsBlanks" dxfId="202" priority="53">
      <formula>LEN(TRIM(Q275))=0</formula>
    </cfRule>
    <cfRule type="containsText" dxfId="201" priority="54" operator="containsText" text="Sin Asignar">
      <formula>NOT(ISERROR(SEARCH("Sin Asignar",Q275)))</formula>
    </cfRule>
  </conditionalFormatting>
  <conditionalFormatting sqref="Q277:S277">
    <cfRule type="containsBlanks" dxfId="200" priority="44">
      <formula>LEN(TRIM(Q277))=0</formula>
    </cfRule>
    <cfRule type="containsText" dxfId="199" priority="45" operator="containsText" text="Sin Asignar">
      <formula>NOT(ISERROR(SEARCH("Sin Asignar",Q277)))</formula>
    </cfRule>
  </conditionalFormatting>
  <conditionalFormatting sqref="S1:S18 C1:D31 E1:E40 A1:B123 N1:N170 P2:P284 H8:H213 I9:M35 F14:G15 O14:O18 S171:S179 J172:J179 E174:E178 N174:N179 F174:F194 G175:G176 C175:C179 L176:M179 B271:B273 F280:I280">
    <cfRule type="containsBlanks" dxfId="198" priority="99">
      <formula>LEN(TRIM(A1))=0</formula>
    </cfRule>
  </conditionalFormatting>
  <conditionalFormatting sqref="S20:S28 S33:S34 S36:S37 S40 O1:R1 O40 S54:S55 S81:S83 S86:S94 S96:S98 S104:S106 S110:S115 S117:S124 S126 S157 S159:S160">
    <cfRule type="containsBlanks" dxfId="197" priority="767">
      <formula>LEN(TRIM(O1))=0</formula>
    </cfRule>
  </conditionalFormatting>
  <conditionalFormatting sqref="S42:S50">
    <cfRule type="containsBlanks" dxfId="196" priority="737">
      <formula>LEN(TRIM(S42))=0</formula>
    </cfRule>
  </conditionalFormatting>
  <conditionalFormatting sqref="S57:S79">
    <cfRule type="containsBlanks" dxfId="195" priority="721">
      <formula>LEN(TRIM(S57))=0</formula>
    </cfRule>
  </conditionalFormatting>
  <conditionalFormatting sqref="S101:S102">
    <cfRule type="containsBlanks" dxfId="194" priority="736">
      <formula>LEN(TRIM(S101))=0</formula>
    </cfRule>
  </conditionalFormatting>
  <conditionalFormatting sqref="S162">
    <cfRule type="containsBlanks" dxfId="193" priority="732">
      <formula>LEN(TRIM(S162))=0</formula>
    </cfRule>
    <cfRule type="containsBlanks" dxfId="192" priority="733">
      <formula>LEN(TRIM(S162))=0</formula>
    </cfRule>
    <cfRule type="containsText" dxfId="191" priority="734" operator="containsText" text="Sin Asignar">
      <formula>NOT(ISERROR(SEARCH("Sin Asignar",S162)))</formula>
    </cfRule>
  </conditionalFormatting>
  <conditionalFormatting sqref="S195:S199">
    <cfRule type="containsBlanks" dxfId="190" priority="220">
      <formula>LEN(TRIM(S195))=0</formula>
    </cfRule>
  </conditionalFormatting>
  <conditionalFormatting sqref="S274">
    <cfRule type="containsBlanks" dxfId="189" priority="71">
      <formula>LEN(TRIM(S274))=0</formula>
    </cfRule>
    <cfRule type="containsText" dxfId="188" priority="72" operator="containsText" text="Sin Asignar">
      <formula>NOT(ISERROR(SEARCH("Sin Asignar",S274)))</formula>
    </cfRule>
  </conditionalFormatting>
  <conditionalFormatting sqref="S275:S277">
    <cfRule type="containsBlanks" dxfId="187" priority="52">
      <formula>LEN(TRIM(S275))=0</formula>
    </cfRule>
  </conditionalFormatting>
  <dataValidations count="3">
    <dataValidation allowBlank="1" showInputMessage="1" showErrorMessage="1" sqref="R196:R199 R236:R240 R274:S274 R275:R277 S275:S1048576 S70:S273 R171:R179 S1:S68 R8:R163" xr:uid="{DBA41981-BA26-4443-BD54-B05205C9F621}"/>
    <dataValidation type="list" allowBlank="1" showInputMessage="1" showErrorMessage="1" sqref="I2:I284" xr:uid="{D4841E23-B482-4BF0-A7D0-F104E32346EA}">
      <formula1>"Activo, Inactivo"</formula1>
    </dataValidation>
    <dataValidation type="list" allowBlank="1" showInputMessage="1" showErrorMessage="1" sqref="T2:T284" xr:uid="{8B2B13B7-9664-4361-A59D-5851312A5B30}">
      <formula1>"Contrato,Orden de compra,Orden de servicios,Sous,Alianza,Unión Temporal"</formula1>
    </dataValidation>
  </dataValidations>
  <hyperlinks>
    <hyperlink ref="J270" r:id="rId1" xr:uid="{00000000-0004-0000-0000-000036000000}"/>
    <hyperlink ref="K270" r:id="rId2" xr:uid="{00000000-0004-0000-0000-000037000000}"/>
    <hyperlink ref="J6" r:id="rId3" xr:uid="{00000000-0004-0000-0000-00004C000000}"/>
    <hyperlink ref="K6" r:id="rId4" xr:uid="{00000000-0004-0000-0000-00004D000000}"/>
    <hyperlink ref="J43" r:id="rId5" xr:uid="{00000000-0004-0000-0000-000056000000}"/>
    <hyperlink ref="K43" r:id="rId6" xr:uid="{00000000-0004-0000-0000-000057000000}"/>
    <hyperlink ref="J18" r:id="rId7" xr:uid="{00000000-0004-0000-0000-00009A000000}"/>
    <hyperlink ref="K18" r:id="rId8" xr:uid="{00000000-0004-0000-0000-00009B000000}"/>
    <hyperlink ref="J82" r:id="rId9" xr:uid="{00000000-0004-0000-0000-0000AC000000}"/>
    <hyperlink ref="K82" r:id="rId10" xr:uid="{00000000-0004-0000-0000-0000AD000000}"/>
    <hyperlink ref="J19" r:id="rId11" xr:uid="{00000000-0004-0000-0000-00000F010000}"/>
    <hyperlink ref="K19" r:id="rId12" xr:uid="{00000000-0004-0000-0000-000010010000}"/>
    <hyperlink ref="J14" r:id="rId13" xr:uid="{00000000-0004-0000-0000-00008E010000}"/>
    <hyperlink ref="J26" r:id="rId14" xr:uid="{00000000-0004-0000-0000-0000A0010000}"/>
    <hyperlink ref="K26" r:id="rId15" xr:uid="{00000000-0004-0000-0000-0000A1010000}"/>
    <hyperlink ref="J21" r:id="rId16" xr:uid="{00000000-0004-0000-0000-0000B4010000}"/>
    <hyperlink ref="K21" r:id="rId17" xr:uid="{00000000-0004-0000-0000-0000B5010000}"/>
    <hyperlink ref="J271" r:id="rId18" xr:uid="{00000000-0004-0000-0000-0000C1010000}"/>
    <hyperlink ref="K271" r:id="rId19" xr:uid="{00000000-0004-0000-0000-0000C2010000}"/>
    <hyperlink ref="J98" r:id="rId20" xr:uid="{00000000-0004-0000-0000-0000CD010000}"/>
    <hyperlink ref="K98" r:id="rId21" xr:uid="{00000000-0004-0000-0000-0000CE010000}"/>
    <hyperlink ref="M98" r:id="rId22" xr:uid="{00000000-0004-0000-0000-0000CF010000}"/>
    <hyperlink ref="J24" r:id="rId23" xr:uid="{00000000-0004-0000-0000-0000ED010000}"/>
    <hyperlink ref="K24" r:id="rId24" xr:uid="{00000000-0004-0000-0000-0000EE010000}"/>
    <hyperlink ref="J27" r:id="rId25" xr:uid="{00000000-0004-0000-0000-0000F1010000}"/>
    <hyperlink ref="K27" r:id="rId26" xr:uid="{00000000-0004-0000-0000-0000F2010000}"/>
    <hyperlink ref="J42" r:id="rId27" xr:uid="{00000000-0004-0000-0000-00000D020000}"/>
    <hyperlink ref="J272" r:id="rId28" xr:uid="{00000000-0004-0000-0000-000017020000}"/>
    <hyperlink ref="J83" r:id="rId29" xr:uid="{00000000-0004-0000-0000-000023020000}"/>
    <hyperlink ref="J57" r:id="rId30" xr:uid="{00000000-0004-0000-0000-000037020000}"/>
    <hyperlink ref="J23" r:id="rId31" xr:uid="{00000000-0004-0000-0000-00003C020000}"/>
    <hyperlink ref="J60" r:id="rId32" xr:uid="{00000000-0004-0000-0000-000050020000}"/>
    <hyperlink ref="J37" r:id="rId33" xr:uid="{00000000-0004-0000-0000-000054020000}"/>
    <hyperlink ref="J70" r:id="rId34" xr:uid="{00000000-0004-0000-0000-000085020000}"/>
    <hyperlink ref="L278" r:id="rId35" display="steven.nino@blend360.com" xr:uid="{00000000-0004-0000-0000-0000BF020000}"/>
    <hyperlink ref="M279" r:id="rId36" xr:uid="{00000000-0004-0000-0000-0000D5020000}"/>
    <hyperlink ref="M94" r:id="rId37" display="marcela.sanchez@blend360.com" xr:uid="{BD32C0AD-57C0-4925-B566-732F13B48733}"/>
    <hyperlink ref="L47" r:id="rId38" display="juan.bernal@blend360.com" xr:uid="{5B76D920-A7F9-45E7-9CFF-E4B68535C917}"/>
    <hyperlink ref="L274" r:id="rId39" display="carolina.aleman@blend360.com" xr:uid="{64C19096-BE0D-4443-A41D-7ADC3FCEDE97}"/>
    <hyperlink ref="M29" r:id="rId40" display="alejandra.gomez@blend360.com" xr:uid="{D38C743D-F376-4A4D-8FBA-81B7CDABBAAF}"/>
    <hyperlink ref="M38" r:id="rId41" display="alejandra.gomez@blend360.com" xr:uid="{4077ECA6-0AE2-4E93-A065-9F584EEDA4EC}"/>
    <hyperlink ref="M48" r:id="rId42" display="alejandra.gomez@blend360.com" xr:uid="{D0C07CCA-74C4-478A-8BC3-98FC9083A376}"/>
    <hyperlink ref="M49" r:id="rId43" display="alejandra.gomez@blend360.com" xr:uid="{A4FBA1C3-A524-4F86-A4CD-384D5969F095}"/>
    <hyperlink ref="M50" r:id="rId44" display="alejandra.gomez@blend360.com" xr:uid="{A1B6ED88-5864-4174-BAEA-EB2ECD6AD510}"/>
    <hyperlink ref="M51" r:id="rId45" display="alejandra.gomez@blend360.com" xr:uid="{65070C76-C51E-4C2A-A804-00419760EF8C}"/>
    <hyperlink ref="M77" r:id="rId46" display="alejandra.gomez@blend360.com" xr:uid="{17F4D166-9380-4513-8DE7-3BDF7A1EDD45}"/>
    <hyperlink ref="M79" r:id="rId47" display="alejandra.gomez@blend360.com" xr:uid="{B03974C5-F907-401B-A0A6-BAFEC13C15E3}"/>
    <hyperlink ref="M87" r:id="rId48" display="alejandra.gomez@blend360.com" xr:uid="{F2C43394-E951-4C47-849D-3174A225A572}"/>
    <hyperlink ref="M88" r:id="rId49" display="alejandra.gomez@blend360.com" xr:uid="{A3972179-7DE6-46E0-A31B-21629F1FD6D9}"/>
    <hyperlink ref="M274" r:id="rId50" display="alejandra.gomez@blend360.com" xr:uid="{D3E147F0-DF75-46F3-A56F-B8E4759EB7E0}"/>
    <hyperlink ref="M66" r:id="rId51" display="alejandra.gomez@blend360.com" xr:uid="{4F9761C8-0D98-489C-A38B-39A5A29B93F0}"/>
    <hyperlink ref="M39" r:id="rId52" display="alejandra.gomez@blend360.com" xr:uid="{347BC933-64BF-446D-BA94-55DCCF81420A}"/>
    <hyperlink ref="M17" r:id="rId53" display="alejandra.gomez@blend360.com" xr:uid="{F0A3503B-AD25-41CA-BE40-5CD4868D602B}"/>
    <hyperlink ref="M16" r:id="rId54" display="alejandra.gomez@blend360.com" xr:uid="{DF57B9B0-492B-44D5-80C2-148554478244}"/>
    <hyperlink ref="M15" r:id="rId55" display="alejandra.gomez@blend360.com" xr:uid="{FD842940-5A15-418C-96B8-B373E875E6CC}"/>
    <hyperlink ref="M47" r:id="rId56" xr:uid="{43845987-F20D-4937-A005-0E59E2FB5624}"/>
    <hyperlink ref="M124" r:id="rId57" display="fernando.ortega@blend360.com" xr:uid="{9A8CC8CD-5ACC-42D2-8415-E384B2F8909C}"/>
    <hyperlink ref="L124" r:id="rId58" display="fernando.ortega@blend360.com" xr:uid="{9B92CA7A-D14F-4C37-87B3-FB29B18C9662}"/>
    <hyperlink ref="M43" r:id="rId59" display="alejandra.gomez@blend360.com" xr:uid="{AE9F3F3C-C85D-4EA0-BE9D-1973857D053F}"/>
    <hyperlink ref="M18" r:id="rId60" display="alejandra.gomez@blend360.com" xr:uid="{0C4C15AF-BC2F-4E1A-9BCE-13B735B2168F}"/>
    <hyperlink ref="M82" r:id="rId61" xr:uid="{3B270EB6-414B-4500-90D4-198162756B36}"/>
    <hyperlink ref="M19" r:id="rId62" xr:uid="{509D62DB-F9DC-4788-AA68-F382A6CEC1CC}"/>
    <hyperlink ref="N70" r:id="rId63" xr:uid="{7144A425-78CC-4EFE-A8E4-6FBCD8766926}"/>
    <hyperlink ref="N94" r:id="rId64" xr:uid="{DC5928EF-04ED-43EE-A4A2-2FC729E65B9D}"/>
    <hyperlink ref="N19" r:id="rId65" display="Nocilas Revollo" xr:uid="{A82F6F66-BB7D-4AE8-ABFE-0528019E3631}"/>
    <hyperlink ref="N24" r:id="rId66" display="Nocilas Revollo" xr:uid="{6B69A124-3AC9-4FF5-A906-2A9DCA6542CF}"/>
    <hyperlink ref="N29" r:id="rId67" display="Nocilas Revollo" xr:uid="{74B93091-1EE7-494A-8537-36B0428D889E}"/>
    <hyperlink ref="N31" r:id="rId68" display="Nocilas Revollo" xr:uid="{C02B5536-C66E-4DEF-86DD-AA149171C6FE}"/>
    <hyperlink ref="N38" r:id="rId69" display="Nocilas Revollo" xr:uid="{1451E6BA-E86C-4F25-9855-7D524D7DC304}"/>
    <hyperlink ref="N48" r:id="rId70" display="Nocilas Revollo" xr:uid="{9047B51D-7AD2-4B32-959A-8631020C8655}"/>
    <hyperlink ref="N49" r:id="rId71" display="Nocilas Revollo" xr:uid="{303D10B4-5861-406D-A01E-7836D4D88CC0}"/>
    <hyperlink ref="N50" r:id="rId72" display="Nocilas Revollo" xr:uid="{E0B44F83-3116-4678-B508-C1F213E82AE6}"/>
    <hyperlink ref="N51" r:id="rId73" display="Nocilas Revollo" xr:uid="{BDC570F9-09CD-4501-A398-094C85C7C4B1}"/>
    <hyperlink ref="N66" r:id="rId74" display="Nocilas Revollo" xr:uid="{979DF71A-F597-443F-A61A-6C1E61B84AA2}"/>
    <hyperlink ref="N77" r:id="rId75" display="Nocilas Revollo" xr:uid="{15B67A4E-29D4-455F-A52E-2697FC0B24A6}"/>
    <hyperlink ref="M31" r:id="rId76" display="alejandra.gomez@blend360.com" xr:uid="{DEC81A68-F1CA-473D-86F6-76511C2532FB}"/>
    <hyperlink ref="M275" r:id="rId77" display="marcela.sanchez@blend360.com" xr:uid="{1384F7EE-CD3E-47A1-868B-0D80203AF131}"/>
    <hyperlink ref="M278" r:id="rId78" xr:uid="{A78C6E96-2D20-41D8-9015-E44C066424C3}"/>
    <hyperlink ref="L57" r:id="rId79" display="juan.bernal@blend360.com" xr:uid="{FDB64943-D2DD-4B26-A7DC-B88A6CF1A32A}"/>
    <hyperlink ref="L83" r:id="rId80" display="juan.bernal@blend360.com" xr:uid="{11D6C7F4-DBFF-469A-9D58-C1B66AB35DC9}"/>
    <hyperlink ref="L42" r:id="rId81" display="juan.bernal@blend360.com" xr:uid="{0B9F2E5C-4BEA-43F9-8CB7-E678E1F290A9}"/>
    <hyperlink ref="M54" r:id="rId82" xr:uid="{91196FC6-C796-49AF-B586-4145C1D0FA89}"/>
    <hyperlink ref="M56" r:id="rId83" xr:uid="{F06B50EA-FFBD-4F58-AD2C-F45F5A101E70}"/>
    <hyperlink ref="M14" r:id="rId84" display="alejandra.gomez@blend360.com" xr:uid="{89F84178-C32C-4872-A5C0-7D9B7EF8C834}"/>
    <hyperlink ref="M26" r:id="rId85" display="alejandra.gomez@blend360.com" xr:uid="{CA47B368-B5D0-44EA-BAD8-B9791D8F467F}"/>
    <hyperlink ref="M42" r:id="rId86" xr:uid="{E2E7E56C-FF3B-485A-BFA6-83AB59C63DA0}"/>
    <hyperlink ref="M83" r:id="rId87" display="marcela.sanchez@blend360.com" xr:uid="{CD1613D0-4E71-4E46-A9C5-5397BE8CD5DF}"/>
    <hyperlink ref="M57" r:id="rId88" display="marcela.sanchez@blend360.com" xr:uid="{88C2BD00-D175-478A-A2AD-E9D9E3DA7507}"/>
    <hyperlink ref="M60" r:id="rId89" display="alejandra.gomez@blend360.com" xr:uid="{75943247-D2BC-4B23-A23B-DBDF46C1B6CB}"/>
    <hyperlink ref="M70" r:id="rId90" xr:uid="{0CB586FE-9679-4864-97BA-934A37E246DC}"/>
    <hyperlink ref="M11" r:id="rId91" xr:uid="{7CE0BD38-8BC8-41AC-A6F7-CDB656899672}"/>
    <hyperlink ref="M65" r:id="rId92" xr:uid="{082F3EF7-CCF1-41BB-9ED3-E69A5CFBC5EB}"/>
    <hyperlink ref="M272" r:id="rId93" xr:uid="{4569682E-92D5-4EB8-980C-1DA0BF5A7368}"/>
    <hyperlink ref="M271" r:id="rId94" xr:uid="{D74BC253-4B46-4920-AFDB-65EE39F5A79F}"/>
    <hyperlink ref="M273" r:id="rId95" display="alejandra.gomez@blend360.com" xr:uid="{1DCCC5FC-5AEB-47FF-86C9-D8F52D074187}"/>
    <hyperlink ref="M24" r:id="rId96" xr:uid="{37C8D87A-DD73-42AD-A64F-6ED574271906}"/>
    <hyperlink ref="N27" r:id="rId97" display="Nocilas Revollo" xr:uid="{10061EF9-942F-4D88-BC60-CBFADDC58344}"/>
    <hyperlink ref="M37" r:id="rId98" xr:uid="{5D09311C-B96F-4956-8E0C-F96EC7CCEDDD}"/>
    <hyperlink ref="N37" r:id="rId99" xr:uid="{1240B6C0-F189-4361-A1F2-1B32138F2891}"/>
    <hyperlink ref="N74" r:id="rId100" xr:uid="{45AD1AAA-87F5-4A54-B8B5-7886A653437F}"/>
    <hyperlink ref="M27" r:id="rId101" xr:uid="{084F199A-5952-4891-B14A-DE35D0CD996A}"/>
    <hyperlink ref="M21" r:id="rId102" display="marcela.sanchez@blend360.com" xr:uid="{71D7599F-C77B-465B-BDC7-A3D4947CDE97}"/>
    <hyperlink ref="N47" r:id="rId103" xr:uid="{AF9938E8-C190-4B0F-88CB-4816E144284F}"/>
    <hyperlink ref="N60" r:id="rId104" xr:uid="{9B9322AB-524B-490A-9AC6-5620AB0AA851}"/>
    <hyperlink ref="J94" r:id="rId105" display="NUVU - Proyectos - [P0347] - PON - IAPOL-G - IA Generativa - All Documents" xr:uid="{3919D66F-0F99-402F-8FCF-2E7A7E49FE2C}"/>
    <hyperlink ref="M74" r:id="rId106" xr:uid="{EB8A107E-166E-47AA-9960-697CB5E74E26}"/>
    <hyperlink ref="M78" r:id="rId107" display="alejandra.gomez@blend360.com" xr:uid="{999BCA6A-F9F8-41F7-AD2D-F585C39C100C}"/>
    <hyperlink ref="K87" r:id="rId108" xr:uid="{DCB62E9C-7351-4364-8317-AF3082C1E4AB}"/>
    <hyperlink ref="N21" r:id="rId109" display="Nocilas Revollo" xr:uid="{CCC536D7-0A38-40B2-8F15-1F78C5DD17EA}"/>
    <hyperlink ref="N98" r:id="rId110" xr:uid="{5886C01B-C3E1-4378-A11D-280E56977C24}"/>
    <hyperlink ref="N54" r:id="rId111" display="Nocilas Revollo" xr:uid="{4AD70AA1-20D9-4E23-A1CC-6ED116379C0D}"/>
    <hyperlink ref="N278" r:id="rId112" xr:uid="{06506B89-8534-4619-A7BA-F0B4A4FC8A07}"/>
    <hyperlink ref="N18" r:id="rId113" xr:uid="{6D0594BA-63BE-474F-A3D8-E29EB1F773AD}"/>
    <hyperlink ref="M277" r:id="rId114" xr:uid="{13771EA5-48ED-4A5F-9B96-018E9B61DD2D}"/>
    <hyperlink ref="M8" r:id="rId115" xr:uid="{1D684F2C-C8F8-47FD-B75B-E70726D13092}"/>
    <hyperlink ref="M276" r:id="rId116" xr:uid="{3E885BFF-E621-423C-ACC6-E94D83B3047C}"/>
    <hyperlink ref="M270" r:id="rId117" xr:uid="{7FFBC695-C1E4-4897-A0D4-4B16C3755D29}"/>
    <hyperlink ref="M97" r:id="rId118" xr:uid="{35FB009D-032A-4A6D-83FC-9E55B1AD0D98}"/>
    <hyperlink ref="N97" r:id="rId119" xr:uid="{CF8BE916-E3C3-4AB7-96E8-209C279065D0}"/>
    <hyperlink ref="J97" r:id="rId120" xr:uid="{D68374C4-1B3F-4BED-8A3C-C88165FBB5FD}"/>
    <hyperlink ref="K97" r:id="rId121" xr:uid="{56D1DC69-F8E2-4F92-B301-98D74485AABB}"/>
    <hyperlink ref="J106" r:id="rId122" xr:uid="{4FFF6500-754E-44D2-B470-12F6A1617138}"/>
    <hyperlink ref="M86" r:id="rId123" display="marcela.sanchez@blend360.com" xr:uid="{9F9CF902-E5A8-4116-AB7E-A22178F2E3C7}"/>
    <hyperlink ref="M109" r:id="rId124" display="alejandra.gomez@blend360.com" xr:uid="{74E20BD8-6C3E-432A-9103-2C6CBCCA6EB5}"/>
    <hyperlink ref="N109" r:id="rId125" display="Nocilas Revollo" xr:uid="{6A9B3EE9-A7F8-440C-B9E8-F186F1B2755F}"/>
    <hyperlink ref="J109" r:id="rId126" xr:uid="{0FF31751-8309-418C-AF58-41194A818145}"/>
    <hyperlink ref="M102" r:id="rId127" xr:uid="{F869CBA8-DA88-454E-AFAA-A000D8F9154D}"/>
    <hyperlink ref="M110" r:id="rId128" display="alejandra.gomez@blend360.com" xr:uid="{10FC8D08-2BDE-4316-8939-14B8CEDA7B4D}"/>
    <hyperlink ref="N110" r:id="rId129" display="Nocilas Revollo" xr:uid="{782F80B5-BB36-4F52-8CFB-F0954ECBA879}"/>
    <hyperlink ref="J110" r:id="rId130" xr:uid="{5FE916A6-8C81-4AB2-9D46-149079D7CA56}"/>
    <hyperlink ref="M114" r:id="rId131" display="alejandra.gomez@blend360.com" xr:uid="{A10C0942-5740-476B-9DEC-317A81D43886}"/>
    <hyperlink ref="N114" r:id="rId132" display="Nocilas Revollo" xr:uid="{852FC468-88F4-44B7-B41A-092310FD63E2}"/>
    <hyperlink ref="J114" r:id="rId133" xr:uid="{6FA7EFA6-CE96-4691-A831-D5DEE75A9FD5}"/>
    <hyperlink ref="J90" r:id="rId134" xr:uid="{03B3FBBB-7195-4345-818A-0A0156E6C589}"/>
    <hyperlink ref="M90" r:id="rId135" xr:uid="{B9C07EEA-C681-4142-9301-E446694058DD}"/>
    <hyperlink ref="N90" r:id="rId136" display="Nocilas Revollo" xr:uid="{9736AD24-CF32-4F0A-821C-B4CDA02D4F5E}"/>
    <hyperlink ref="J117" r:id="rId137" xr:uid="{E7659D97-3417-4B43-8ADD-0873FA4DA177}"/>
    <hyperlink ref="M117" r:id="rId138" display="alejandra.gomez@blend360.com" xr:uid="{16E64602-9831-41C7-A5CB-0B53990CE5E3}"/>
    <hyperlink ref="N117" r:id="rId139" display="Nocilas Revollo" xr:uid="{0A2A814A-31B4-473F-934B-3F026B05A241}"/>
    <hyperlink ref="J118" r:id="rId140" xr:uid="{E8360172-91E3-4777-A548-25D05C327101}"/>
    <hyperlink ref="M118" r:id="rId141" display="alejandra.gomez@blend360.com" xr:uid="{24024BCB-DB29-40A2-B013-4936E1DF5C16}"/>
    <hyperlink ref="N118" r:id="rId142" display="Nocilas Revollo" xr:uid="{7A3441E4-23C4-4665-B9F6-1CAC198E50F8}"/>
    <hyperlink ref="M126" r:id="rId143" xr:uid="{1DE9F897-FB45-4EE6-B04A-8B023B20696B}"/>
    <hyperlink ref="J126" r:id="rId144" xr:uid="{F879A179-6018-4A54-B146-D8B13D7AB0B9}"/>
    <hyperlink ref="M128" r:id="rId145" display="alejandra.gomez@blend360.com" xr:uid="{B1A40FDA-0843-4EA5-AAB2-83E28BE6C290}"/>
    <hyperlink ref="N128" r:id="rId146" display="Nocilas Revollo" xr:uid="{4544D019-4371-47C4-A9A9-2542D9F56CD4}"/>
    <hyperlink ref="J128" r:id="rId147" xr:uid="{F9E60F1C-F5F5-46E1-896A-94F32624B954}"/>
    <hyperlink ref="J130" r:id="rId148" xr:uid="{2D064D51-295D-4D38-A3CD-089F9166A49A}"/>
    <hyperlink ref="J120" r:id="rId149" xr:uid="{41AA8FE4-1A17-4BB3-A5CC-E5749637FEDD}"/>
    <hyperlink ref="M130" r:id="rId150" display="alejandra.gomez@blend360.com" xr:uid="{04A908B5-FBF0-4217-923C-F313AA83D014}"/>
    <hyperlink ref="N130" r:id="rId151" display="Nocilas Revollo" xr:uid="{80CC0A9A-209B-4D2F-8563-E87539B929B8}"/>
    <hyperlink ref="M120" r:id="rId152" display="alejandra.gomez@blend360.com" xr:uid="{B2986270-DC9A-49FA-B1A9-24BD4BB6B50B}"/>
    <hyperlink ref="N120" r:id="rId153" display="Nocilas Revollo" xr:uid="{8BC0BA63-C577-4E12-B0D7-A6437E0A30B6}"/>
    <hyperlink ref="J131" r:id="rId154" xr:uid="{926E9D15-6ABC-4948-BC91-B2979F4614B5}"/>
    <hyperlink ref="M131" r:id="rId155" xr:uid="{FE98CE3E-A1D4-45CF-9569-1E4EB7EC1052}"/>
    <hyperlink ref="J5" r:id="rId156" xr:uid="{EF9D1672-DCEA-4790-9B9C-27D2CF6D8C5B}"/>
    <hyperlink ref="K5" r:id="rId157" xr:uid="{91882F2D-F5B9-475A-B81F-E28117ED1981}"/>
    <hyperlink ref="M5" r:id="rId158" xr:uid="{891411B0-C98B-424D-895A-FC743EE3D87B}"/>
    <hyperlink ref="J12" r:id="rId159" xr:uid="{994D799D-2922-4799-85F9-F1C5B25B02A9}"/>
    <hyperlink ref="K12" r:id="rId160" xr:uid="{9F85CE1C-6490-48FA-85D1-10A9D19BF654}"/>
    <hyperlink ref="M12" r:id="rId161" display="alejandra.gomez@blend360.com" xr:uid="{17FA7182-27AE-4EEF-8FCB-8F6A82D4EFD5}"/>
    <hyperlink ref="J13" r:id="rId162" xr:uid="{0519EF88-BF7F-4BBE-8590-29499ED4FDB8}"/>
    <hyperlink ref="M13" r:id="rId163" display="alejandra.gomez@blend360.com" xr:uid="{45B6AC66-78F4-4DBA-B6ED-F91AFED8CF84}"/>
    <hyperlink ref="J25" r:id="rId164" xr:uid="{F9A7643D-1B1D-4B3B-B1FA-5ABDC6A2A939}"/>
    <hyperlink ref="K25" r:id="rId165" xr:uid="{76284200-2CE8-4421-9778-D45BD2116DFD}"/>
    <hyperlink ref="M25" r:id="rId166" display="alejandra.gomez@blend360.com" xr:uid="{6F5D088F-40A9-42A6-82D1-0F8940657485}"/>
    <hyperlink ref="J20" r:id="rId167" xr:uid="{02D471F3-CAFC-4C19-9AC0-83F057AEE0D4}"/>
    <hyperlink ref="K20" r:id="rId168" xr:uid="{A3D308D3-4E30-4E17-9086-9696B9B1E18A}"/>
    <hyperlink ref="L20" r:id="rId169" display="juan.bernal@blend360.com" xr:uid="{3871E4CB-3547-458A-BB58-6BD63BAC9DA2}"/>
    <hyperlink ref="M20" r:id="rId170" display="marcela.sanchez@blend360.com" xr:uid="{328C1BA0-CCB2-44DD-B70F-23E9ACB12DDD}"/>
    <hyperlink ref="N20" r:id="rId171" display="Nocilas Revollo" xr:uid="{224E1319-696C-4536-80E3-0292E1430929}"/>
    <hyperlink ref="J28" r:id="rId172" xr:uid="{50883CFA-B608-4B45-A7D0-BF778E7B423E}"/>
    <hyperlink ref="K28" r:id="rId173" xr:uid="{80B59E26-1322-45CA-8A6C-56FFD79BCA9D}"/>
    <hyperlink ref="M28" r:id="rId174" xr:uid="{C3580D67-0082-491B-9299-C5824B7AB35A}"/>
    <hyperlink ref="J41" r:id="rId175" xr:uid="{A7361070-2B5E-4681-96F7-32CA82BB78AB}"/>
    <hyperlink ref="L41" r:id="rId176" display="juan.bernal@blend360.com" xr:uid="{E7E0A9E2-C3BE-4E0A-B849-2C30FB0EB73C}"/>
    <hyperlink ref="M41" r:id="rId177" xr:uid="{BBCD8518-E86D-45C5-AF5E-D11E1E88DBBC}"/>
    <hyperlink ref="J40" r:id="rId178" xr:uid="{16934F85-7D9D-41E8-8333-FC90F41D13D2}"/>
    <hyperlink ref="L40" r:id="rId179" display="juan.bernal@blend360.com" xr:uid="{71FC8C49-D160-4075-B824-9AF423A79237}"/>
    <hyperlink ref="M40" r:id="rId180" xr:uid="{83102CA9-954C-4848-828D-EF63C10C197E}"/>
    <hyperlink ref="J58" r:id="rId181" xr:uid="{4BEC2E1D-C105-464E-B6B6-25C14F3D957F}"/>
    <hyperlink ref="L58" r:id="rId182" display="juan.bernal@blend360.com" xr:uid="{4C78E013-7FD9-483B-A0EF-FC93A80EBD6E}"/>
    <hyperlink ref="M58" r:id="rId183" display="alejandra.gomez@blend360.com" xr:uid="{8AD28399-4638-4C44-97E2-6688D57F9ECF}"/>
    <hyperlink ref="N58" r:id="rId184" xr:uid="{18BBF9BB-BE93-45F0-A515-BB140F5C1E38}"/>
    <hyperlink ref="J59" r:id="rId185" xr:uid="{586974D1-2964-4832-9378-05F40325B7C3}"/>
    <hyperlink ref="M59" r:id="rId186" display="alejandra.gomez@blend360.com" xr:uid="{8F0AD650-C07E-469B-B0CF-E7C237FEEFFE}"/>
    <hyperlink ref="N59" r:id="rId187" xr:uid="{FBAA9D90-6E9C-4196-85C8-5DEA045D108D}"/>
    <hyperlink ref="J36" r:id="rId188" xr:uid="{24E452C1-C12E-466C-84FF-E409709D77DE}"/>
    <hyperlink ref="M36" r:id="rId189" xr:uid="{3D3810F1-EC71-46C4-9A5B-9AF5FF4BB529}"/>
    <hyperlink ref="N36" r:id="rId190" xr:uid="{6EB3768E-4759-4264-9448-F24D834D60E3}"/>
    <hyperlink ref="J35" r:id="rId191" xr:uid="{804F167E-3C4C-4851-8994-44B8666EC502}"/>
    <hyperlink ref="M35" r:id="rId192" xr:uid="{8016F19F-8E2C-484E-94C7-9B5FC46834A8}"/>
    <hyperlink ref="N35" r:id="rId193" xr:uid="{54AF4C45-916F-458B-8CD5-2AA7EA2130FA}"/>
    <hyperlink ref="M55" r:id="rId194" xr:uid="{650A08A3-5F54-4A24-BA41-95EFB5318678}"/>
    <hyperlink ref="M64" r:id="rId195" xr:uid="{E4565A53-9A7F-4FA1-9E70-95EB08208F27}"/>
    <hyperlink ref="M30" r:id="rId196" xr:uid="{AA8F6120-2DA8-49C6-B8D6-D7A5AF627C15}"/>
    <hyperlink ref="M63" r:id="rId197" xr:uid="{E5EC703C-D148-4130-B196-C7C7AC81756B}"/>
    <hyperlink ref="M34" r:id="rId198" display="alejandra.gomez@blend360.com" xr:uid="{988B3040-CB9C-40E8-BA45-600AE737F9EA}"/>
    <hyperlink ref="N34" r:id="rId199" display="Nocilas Revollo" xr:uid="{3D59AC19-786B-4F90-8EA5-546D5763559A}"/>
    <hyperlink ref="J22" r:id="rId200" xr:uid="{4562E423-2FCA-45F7-95ED-A068A3D91AB5}"/>
    <hyperlink ref="M22" r:id="rId201" display="marcela.sanchez@blend360.com" xr:uid="{B9FEE967-811A-4136-B215-172ECE8F0DD9}"/>
    <hyperlink ref="N22" r:id="rId202" xr:uid="{33D18B41-61D5-4B31-AA1F-47839D2ECDE7}"/>
    <hyperlink ref="L22" r:id="rId203" xr:uid="{FB937112-FCC4-401F-BC23-47EF3EE97DE4}"/>
    <hyperlink ref="M53" r:id="rId204" xr:uid="{B2824423-9F36-49B0-98B7-DBF2E07FFE09}"/>
    <hyperlink ref="N53" r:id="rId205" display="Nocilas Revollo" xr:uid="{62CE500D-2E9B-4BA1-862A-5E43E1DA4D5E}"/>
    <hyperlink ref="M52" r:id="rId206" xr:uid="{E176311E-F957-4BF9-BE57-44D35A8F91D6}"/>
    <hyperlink ref="N52" r:id="rId207" display="Nocilas Revollo" xr:uid="{F843A3C1-D38C-4BED-AE80-79B541994814}"/>
    <hyperlink ref="J68" r:id="rId208" xr:uid="{AE5672E1-6111-4329-A7CA-AE18929BE166}"/>
    <hyperlink ref="N68" r:id="rId209" xr:uid="{0D8C36E3-5BE5-43CE-A905-FE462432B98C}"/>
    <hyperlink ref="M68" r:id="rId210" xr:uid="{4E37556D-166A-4E5F-921D-321446CCB3CD}"/>
    <hyperlink ref="M10" r:id="rId211" xr:uid="{3E8C45D6-EB41-412D-BCF6-6C3C7A384E72}"/>
    <hyperlink ref="M9" r:id="rId212" xr:uid="{7964DE04-431D-4C5A-A47B-65858FB706FF}"/>
    <hyperlink ref="M61" r:id="rId213" display="marcela.sanchez@blend360.com" xr:uid="{F9A0CD01-5DF4-4E54-BE1E-E5EDEA2CFF74}"/>
    <hyperlink ref="N72" r:id="rId214" xr:uid="{3D5FF99C-E69A-4DF6-9BC1-78131BC45C69}"/>
    <hyperlink ref="M72" r:id="rId215" xr:uid="{3EBB4802-ED28-43B3-870E-77C18ADDD5CB}"/>
    <hyperlink ref="N73" r:id="rId216" xr:uid="{B5E6159C-7C9D-4B01-9BD4-38BD84609C48}"/>
    <hyperlink ref="M73" r:id="rId217" xr:uid="{53A93D03-70ED-4D0F-B6A6-90AAE26B5DC3}"/>
    <hyperlink ref="M76" r:id="rId218" display="alejandra.gomez@blend360.com" xr:uid="{6A085C55-1119-4DBE-9D82-23958D575858}"/>
    <hyperlink ref="N76" r:id="rId219" display="Nocilas Revollo" xr:uid="{4DDACD73-8D8F-4BCE-A479-E2D9725021B2}"/>
    <hyperlink ref="M75" r:id="rId220" display="alejandra.gomez@blend360.com" xr:uid="{C0DBABA2-9519-4A2E-BCC9-DA53380DE275}"/>
    <hyperlink ref="N75" r:id="rId221" display="Nocilas Revollo" xr:uid="{A656210B-2767-480F-A0E8-9B9C5475810A}"/>
    <hyperlink ref="N7" r:id="rId222" xr:uid="{A918E6D5-128A-4064-A159-0AD96E76AE3B}"/>
    <hyperlink ref="M7" r:id="rId223" xr:uid="{B1F21FCB-6690-4B09-AF9B-69D758CD636C}"/>
    <hyperlink ref="M81" r:id="rId224" display="marcela.sanchez@blend360.com" xr:uid="{A750DF15-2573-412B-9925-EA3F20904EEF}"/>
    <hyperlink ref="L81" r:id="rId225" display="juan.bernal@blend360.com" xr:uid="{B7D5233F-0F7D-4D29-9D23-A3DCB194697C}"/>
    <hyperlink ref="M84" r:id="rId226" display="marcela.sanchez@blend360.com" xr:uid="{8FCF0B3B-9B5F-4EC5-BC06-621EDBA9695C}"/>
    <hyperlink ref="M85" r:id="rId227" display="marcela.sanchez@blend360.com" xr:uid="{F0D52803-224E-4038-A247-CEBCB421AD59}"/>
    <hyperlink ref="L46" r:id="rId228" display="juan.bernal@blend360.com" xr:uid="{40252DA8-6E5A-4B22-87F7-B4C3E91E9658}"/>
    <hyperlink ref="M46" r:id="rId229" xr:uid="{0947D1BE-8D07-454A-9E4C-A090F75BBC4D}"/>
    <hyperlink ref="N46" r:id="rId230" xr:uid="{AFC84708-6093-4997-96C3-AB04790EBB6B}"/>
    <hyperlink ref="L45" r:id="rId231" display="juan.bernal@blend360.com" xr:uid="{01A64C19-6B51-4C37-961A-5E3FC219A907}"/>
    <hyperlink ref="M45" r:id="rId232" xr:uid="{9F99BFB5-F76D-426A-AA0D-41F166F31F5C}"/>
    <hyperlink ref="N45" r:id="rId233" xr:uid="{3FD0B381-E767-494D-AD71-1EC93FB3404F}"/>
    <hyperlink ref="L44" r:id="rId234" display="juan.bernal@blend360.com" xr:uid="{3B97200E-157F-4242-A1BD-F62BFA177AAD}"/>
    <hyperlink ref="M44" r:id="rId235" xr:uid="{FC976FE7-930E-4C3A-9811-678C94704339}"/>
    <hyperlink ref="N44" r:id="rId236" xr:uid="{107898C0-CA3A-4F78-87AB-42D5061B6006}"/>
    <hyperlink ref="M91" r:id="rId237" display="marcela.sanchez@blend360.com" xr:uid="{B60456F5-953F-4A29-97E5-EA9C53589305}"/>
    <hyperlink ref="N91" r:id="rId238" xr:uid="{A721B6E7-A887-4963-9731-13E93660B1D1}"/>
    <hyperlink ref="J91" r:id="rId239" display="NUVU - Proyectos - [P0347] - PON - IAPOL-G - IA Generativa - All Documents" xr:uid="{A173B072-4B89-439B-AAFB-30008333A2BC}"/>
    <hyperlink ref="M92" r:id="rId240" display="marcela.sanchez@blend360.com" xr:uid="{BC4800B0-1591-467B-8812-0AA3FCE250B2}"/>
    <hyperlink ref="N92" r:id="rId241" xr:uid="{5F936598-54A8-4E6E-AB61-1E9CAB006136}"/>
    <hyperlink ref="J92" r:id="rId242" display="NUVU - Proyectos - [P0347] - PON - IAPOL-G - IA Generativa - All Documents" xr:uid="{5D8F2F9D-B48A-4BB8-B25A-B516291A4899}"/>
    <hyperlink ref="M96" r:id="rId243" xr:uid="{8CDC1442-1121-4F6B-A9B6-B294925E6A05}"/>
    <hyperlink ref="N96" r:id="rId244" xr:uid="{20608528-1028-4C43-A883-C489BBB8B7F5}"/>
    <hyperlink ref="J96" r:id="rId245" xr:uid="{674FA9ED-4013-4B91-A90B-B5577B9E7CEB}"/>
    <hyperlink ref="K96" r:id="rId246" xr:uid="{C1FECE5A-119B-45B1-B08A-7023FFDE4227}"/>
    <hyperlink ref="J105" r:id="rId247" xr:uid="{5E0F2A2E-69F3-4651-A960-70F310505D69}"/>
    <hyperlink ref="J104" r:id="rId248" xr:uid="{5C79E32E-8B08-4A36-8730-022A30886959}"/>
    <hyperlink ref="J103" r:id="rId249" xr:uid="{17326F88-B7AE-4049-A5CB-F34C34B1C750}"/>
    <hyperlink ref="M103" r:id="rId250" xr:uid="{3B5F8147-B6FC-49BB-B952-4F3EDB181250}"/>
    <hyperlink ref="M108" r:id="rId251" display="alejandra.gomez@blend360.com" xr:uid="{CD14EF10-2149-4A2D-9A3A-7348CDEA6A34}"/>
    <hyperlink ref="N108" r:id="rId252" display="Nocilas Revollo" xr:uid="{EFAF20D8-AF46-4B5F-B4DD-025513B66A54}"/>
    <hyperlink ref="J108" r:id="rId253" xr:uid="{52185050-62FB-4FBE-AA6C-963E4C81AA46}"/>
    <hyperlink ref="M100" r:id="rId254" xr:uid="{7BB3BD48-37CD-4881-9E8E-2C174889D1CB}"/>
    <hyperlink ref="M101" r:id="rId255" xr:uid="{12A9C1A1-8C44-4803-9C5A-541E7590FABB}"/>
    <hyperlink ref="J89" r:id="rId256" xr:uid="{DF95891B-3E2A-46D2-8AF3-56B701BF32F4}"/>
    <hyperlink ref="M89" r:id="rId257" xr:uid="{E506CCCC-AADA-42F4-BD65-7D027FB135C6}"/>
    <hyperlink ref="N89" r:id="rId258" display="Nocilas Revollo" xr:uid="{8861CB67-5BF2-4E72-A2AB-D1ACEBC143E4}"/>
    <hyperlink ref="M125" r:id="rId259" xr:uid="{FDCAD6EB-E049-421E-919C-F6BC79064F49}"/>
    <hyperlink ref="J125" r:id="rId260" xr:uid="{CAF466E4-9B71-467A-84F9-4308415E9F9D}"/>
    <hyperlink ref="M122" r:id="rId261" xr:uid="{455622EA-5CE8-49A3-9990-0D5B3935D7BB}"/>
    <hyperlink ref="J122" r:id="rId262" xr:uid="{75A7C6B6-114A-4A48-801F-1E2C107B764F}"/>
    <hyperlink ref="M121" r:id="rId263" xr:uid="{2A1DF22B-F9C6-4323-BD7E-0DB0C40F243B}"/>
    <hyperlink ref="K121" r:id="rId264" xr:uid="{F1DDCBB4-80B0-4921-948A-6CCC82FCBD72}"/>
    <hyperlink ref="J121" r:id="rId265" xr:uid="{13971A67-938F-4FCF-A192-906C734032EB}"/>
    <hyperlink ref="M127" r:id="rId266" display="alejandra.gomez@blend360.com" xr:uid="{15479909-3846-4ACD-9B6E-A4C779DAFFAD}"/>
    <hyperlink ref="N127" r:id="rId267" display="Nocilas Revollo" xr:uid="{76541CD8-4874-4B03-B7F3-825C85EA9EF7}"/>
    <hyperlink ref="J127" r:id="rId268" xr:uid="{43C9F2A6-EC81-4AFD-8486-9CE17E80E7DE}"/>
    <hyperlink ref="J129" r:id="rId269" xr:uid="{CFF356FF-443F-4F08-BCFF-5747D16EEC1D}"/>
    <hyperlink ref="M129" r:id="rId270" display="alejandra.gomez@blend360.com" xr:uid="{934CE7D5-5D14-41D9-919B-DB3C0D7217EB}"/>
    <hyperlink ref="N129" r:id="rId271" display="Nocilas Revollo" xr:uid="{37A1D240-3F36-4B39-8F86-134BF2CDB615}"/>
    <hyperlink ref="J132" r:id="rId272" display="https://drive.google.com/drive/u/0/folders/1MGBfD6Vh5uYbROYUHEcdv1tOwFqXfkxx" xr:uid="{4952944D-BA8A-4651-BB8B-64758A3C37A4}"/>
    <hyperlink ref="M132" r:id="rId273" display="mailto:ciliana.capera@blend360.com" xr:uid="{CB6881A4-1F66-41A0-B4D0-74AA3F16E07E}"/>
    <hyperlink ref="J134" r:id="rId274" xr:uid="{3C17EAA9-3D17-417D-A98B-A74EFFEAD205}"/>
    <hyperlink ref="M134" r:id="rId275" display="marcela.sanchez@blend360.com" xr:uid="{67B95031-7ABE-4EBF-8E6A-F6A0561A63A9}"/>
    <hyperlink ref="J135" r:id="rId276" xr:uid="{8CFCD9F2-BF3E-43B7-808A-EA6D42613843}"/>
    <hyperlink ref="L135" r:id="rId277" display="juan.bernal@blend360.com" xr:uid="{13E4DB14-8D6A-4300-91AB-B19B6447A6E7}"/>
    <hyperlink ref="M135" r:id="rId278" display="marcela.sanchez@blend360.com" xr:uid="{AAB842EA-21BC-44FB-AD4D-D26180981103}"/>
    <hyperlink ref="M62" r:id="rId279" display="marcela.sanchez@blend360.com" xr:uid="{BD12106C-701C-47BE-B502-34FAF7C29CE9}"/>
    <hyperlink ref="M93" r:id="rId280" display="marcela.sanchez@blend360.com" xr:uid="{ACBB3BDB-4F08-450A-8EE5-D2E1156344D3}"/>
    <hyperlink ref="N93" r:id="rId281" xr:uid="{1A03BF68-DCA1-4C73-BBDD-DD21DFF0E2A9}"/>
    <hyperlink ref="J93" r:id="rId282" display="NUVU - Proyectos - [P0347] - PON - IAPOL-G - IA Generativa - All Documents" xr:uid="{20E80AD2-E089-4ED7-8554-AF9DB1399842}"/>
    <hyperlink ref="M161:M163" r:id="rId283" display="alejandra.gomez@blend360.com" xr:uid="{150034C3-E814-46B7-A270-979EA995D742}"/>
    <hyperlink ref="N101" r:id="rId284" xr:uid="{2C971BEE-C7D4-4141-A4FE-F36A82D98E09}"/>
    <hyperlink ref="N28" r:id="rId285" display="Nocilas Revollo" xr:uid="{8BD48D3E-23D8-4449-94AC-9F10F810C6A3}"/>
    <hyperlink ref="N132" r:id="rId286" display="Nocilas Revollo" xr:uid="{1F9DB430-D92C-46ED-B870-B7EFD0CF7542}"/>
    <hyperlink ref="N131" r:id="rId287" display="Nocilas Revollo" xr:uid="{DC58E843-3399-42F4-BB3C-26CE6A215092}"/>
    <hyperlink ref="L23" r:id="rId288" xr:uid="{A90D5836-76A9-4567-9325-A0DCDC2387E2}"/>
    <hyperlink ref="M67" r:id="rId289" display="alejandra.gomez@blend360.com" xr:uid="{03EBB7A7-FA39-45BA-8981-71A10AA9C6E7}"/>
    <hyperlink ref="J136" r:id="rId290" xr:uid="{A9B878C3-1738-4A8B-AAAE-DCE6ACD6F3D1}"/>
    <hyperlink ref="J137" r:id="rId291" xr:uid="{72E62214-96EB-4C2D-9E40-FD445795A2D5}"/>
    <hyperlink ref="J138" r:id="rId292" xr:uid="{BD9D4F1A-C7D9-460F-9A61-DE9BAF227CED}"/>
    <hyperlink ref="M136" r:id="rId293" display="alejandra.gomez@blend360.com" xr:uid="{55FB3277-DB7D-479B-99E4-B0CB58936113}"/>
    <hyperlink ref="J139" r:id="rId294" xr:uid="{0BEF8F63-F2DA-421D-B826-2C14B83C53D3}"/>
    <hyperlink ref="L132:L133" r:id="rId295" display="Diana Rojas" xr:uid="{8F58133C-B6E0-48C3-A7A6-23BBC275384C}"/>
    <hyperlink ref="L154" r:id="rId296" display="juan.bernal@blend360.com" xr:uid="{3A2CD129-1732-466B-A8D8-DF6C92250CAB}"/>
    <hyperlink ref="M154" r:id="rId297" xr:uid="{12BB24E7-53E3-4997-98A9-6B3CA5FECC74}"/>
    <hyperlink ref="L142" r:id="rId298" display="juan.bernal@blend360.com" xr:uid="{74E2AC66-8459-49B9-953E-5ED353E59CD3}"/>
    <hyperlink ref="M142" r:id="rId299" xr:uid="{58F97D97-28A0-4F88-8342-4DFC2B8B1D7F}"/>
    <hyperlink ref="N142" r:id="rId300" xr:uid="{32320302-335F-4829-BD84-4A5A5F1DD350}"/>
    <hyperlink ref="L149" r:id="rId301" display="juan.bernal@blend360.com" xr:uid="{BB5E97EA-193B-416C-89FE-AF374583433B}"/>
    <hyperlink ref="M149" r:id="rId302" xr:uid="{A7CDAFEB-DE23-4AE7-B2A6-4810FFA53114}"/>
    <hyperlink ref="N149" r:id="rId303" xr:uid="{BB9BABC0-3185-4603-8931-22B85F4636C5}"/>
    <hyperlink ref="L150" r:id="rId304" display="juan.bernal@blend360.com" xr:uid="{03FF4557-B1B5-4C01-A749-CF9EC2D38DF2}"/>
    <hyperlink ref="M150" r:id="rId305" xr:uid="{4B884ECD-048B-46CA-9FA8-99EDA3FB3062}"/>
    <hyperlink ref="N150" r:id="rId306" xr:uid="{07F3B920-C44C-4CA9-8C48-35EFA7DD613D}"/>
    <hyperlink ref="L151" r:id="rId307" display="juan.bernal@blend360.com" xr:uid="{DD531231-41EA-4F96-95DD-C173557A5D1B}"/>
    <hyperlink ref="M151" r:id="rId308" xr:uid="{81A207B6-B829-4094-A261-02AF4499AFE0}"/>
    <hyperlink ref="N151" r:id="rId309" xr:uid="{2F273FE6-4329-4845-BB2E-6D7401D7482F}"/>
    <hyperlink ref="L153" r:id="rId310" display="juan.bernal@blend360.com" xr:uid="{D02E1358-C6F3-44A9-AA10-AB797FB218BA}"/>
    <hyperlink ref="M153" r:id="rId311" xr:uid="{9422DDA4-6C72-4D56-9724-30554DD9587F}"/>
    <hyperlink ref="N153" r:id="rId312" display="Moises Rojas" xr:uid="{317E5DAA-817F-4D7F-A053-BD18A3058229}"/>
    <hyperlink ref="N154" r:id="rId313" display="Moises Rojas" xr:uid="{F9BFFCE0-F6EF-40FF-B918-DF0ACBD580DE}"/>
    <hyperlink ref="J69" r:id="rId314" xr:uid="{F44CF42A-4B2A-4D84-A1BE-A7819442ADA7}"/>
    <hyperlink ref="N69" r:id="rId315" xr:uid="{B1DDB20B-11F4-4EF2-A71A-C0CC4359E908}"/>
    <hyperlink ref="M69" r:id="rId316" xr:uid="{8A81B622-3CA5-4984-A853-1380B7CB4E88}"/>
    <hyperlink ref="J107" r:id="rId317" xr:uid="{00F46C84-14C6-45BE-8D60-35854ED884D8}"/>
    <hyperlink ref="M143" r:id="rId318" xr:uid="{AF2C6000-4FE0-4BD0-ABC9-1A8FEBE905D9}"/>
    <hyperlink ref="M142:M146" r:id="rId319" display="Karen Arandia" xr:uid="{BCC8018E-22B9-4EC7-B98E-A5FDC86AA6BE}"/>
    <hyperlink ref="M138:M139" r:id="rId320" display="Daniela Muñoz" xr:uid="{4B207440-D3E6-40A3-BE1D-BE7F1E749ADC}"/>
    <hyperlink ref="M147:M151" r:id="rId321" display="Ciliana Capera" xr:uid="{7E0E8E1D-34E0-4591-96EB-9AAE2639AE5E}"/>
    <hyperlink ref="N71" r:id="rId322" xr:uid="{4B472B8B-9FA9-47E5-8857-E13854CC0219}"/>
    <hyperlink ref="M71" r:id="rId323" xr:uid="{958A3634-3CBA-41DE-8F46-BD207CE8B3D7}"/>
    <hyperlink ref="N279" r:id="rId324" xr:uid="{5FC86D20-A0C9-4A18-B412-4E0CAD9D2355}"/>
    <hyperlink ref="M165" r:id="rId325" xr:uid="{B8CABFDA-E3EB-4F10-A0D4-06643514A910}"/>
    <hyperlink ref="M164:M168" r:id="rId326" display="Ciliana Capera" xr:uid="{91836D84-76EC-4BC5-9DFE-B33360B75D7C}"/>
    <hyperlink ref="L152" r:id="rId327" display="juan.bernal@blend360.com" xr:uid="{203D36CE-2A4D-452B-A90E-C564B8E8CDF9}"/>
    <hyperlink ref="M152" r:id="rId328" xr:uid="{7A602336-4DF8-49F7-81E4-FFD8BEF22D1B}"/>
    <hyperlink ref="N152" r:id="rId329" xr:uid="{15F1976A-4BDB-4283-AAD3-87DFA2ECB114}"/>
    <hyperlink ref="J133" r:id="rId330" display="https://drive.google.com/drive/u/0/folders/1MGBfD6Vh5uYbROYUHEcdv1tOwFqXfkxx" xr:uid="{EC99B060-B147-4D8B-9A7F-B90FB2FB8F8D}"/>
    <hyperlink ref="M133" r:id="rId331" display="mailto:ciliana.capera@blend360.com" xr:uid="{F88A833E-FB5C-45B4-8123-4C40F5827FAA}"/>
    <hyperlink ref="N133" r:id="rId332" display="Nocilas Revollo" xr:uid="{CCE78A41-C275-482C-89EA-C3830BE8D221}"/>
    <hyperlink ref="L161" r:id="rId333" display="carolina.aleman@blend360.com" xr:uid="{14694AE8-90CF-4F51-ACC5-C9CEB709025F}"/>
    <hyperlink ref="L165:L166" r:id="rId334" display="carolina.aleman@blend360.com" xr:uid="{5DA52243-F077-4014-BE4A-AB54B1E94240}"/>
    <hyperlink ref="L29:L34" r:id="rId335" display="carolina.aleman@blend360.com" xr:uid="{3D60D5E5-1449-4328-9E5E-0BF92C7884FD}"/>
    <hyperlink ref="L39" r:id="rId336" display="carolina.aleman@blend360.com" xr:uid="{5632644A-B45E-40F9-9C08-DC8638AEFF1A}"/>
    <hyperlink ref="L121" r:id="rId337" display="carolina.aleman@blend360.com" xr:uid="{9EB7AE9D-5A1A-4169-A017-A8A77A8E0F75}"/>
    <hyperlink ref="L93:L95" r:id="rId338" display="carolina.aleman@blend360.com" xr:uid="{6A76E723-B790-4BEC-BE77-84B5A182E378}"/>
    <hyperlink ref="J173" r:id="rId339" xr:uid="{D9DBD6D5-204D-4ADA-91A5-7F77C9F41191}"/>
    <hyperlink ref="M173" r:id="rId340" display="alejandra.gomez@blend360.com" xr:uid="{DCDF0039-D35A-46AA-85A4-E94DFDB34555}"/>
    <hyperlink ref="N173" r:id="rId341" xr:uid="{DD3A4C88-C298-4E7F-8C7B-53A993E82FB0}"/>
    <hyperlink ref="J172" r:id="rId342" xr:uid="{B278DFB2-13F4-4BCF-974B-3C4A35053452}"/>
    <hyperlink ref="M172" r:id="rId343" display="alejandra.gomez@blend360.com" xr:uid="{A13EFE00-758B-4FE5-ADFA-C1905E53A676}"/>
    <hyperlink ref="N172" r:id="rId344" xr:uid="{C5E32982-CA5C-4E08-A96A-A14947531317}"/>
    <hyperlink ref="J171" r:id="rId345" xr:uid="{109D6164-3A7A-4950-B19C-4C508096E0EF}"/>
    <hyperlink ref="M171" r:id="rId346" display="alejandra.gomez@blend360.com" xr:uid="{8B60A101-B1E4-4FDC-B0DF-750ADF4B48C8}"/>
    <hyperlink ref="N171" r:id="rId347" xr:uid="{4B4C6D96-96AB-407D-96E8-FAAFEDB012C3}"/>
    <hyperlink ref="K81" r:id="rId348" xr:uid="{772D8452-5295-4031-AC0B-A5345E38E792}"/>
    <hyperlink ref="K63" r:id="rId349" xr:uid="{E5DD4432-8B6D-4175-B3CD-0D82E72B4AC7}"/>
    <hyperlink ref="K30:K32" r:id="rId350" display="CTO 323 - 2024" xr:uid="{4E12C014-C113-4F1E-B0AC-832DBB89A27A}"/>
    <hyperlink ref="K19:K21" r:id="rId351" display="PO 7000020361 &amp; PO 7000021280" xr:uid="{A3DB3F34-FED9-4568-B817-B170DD38598B}"/>
    <hyperlink ref="K66" r:id="rId352" xr:uid="{BDB486A5-BFE2-4114-A595-A62C004A7120}"/>
    <hyperlink ref="K93:K95" r:id="rId353" display="OC 145303 - 20250425" xr:uid="{72FFE49D-A603-469C-853E-3E05C7FC3821}"/>
    <hyperlink ref="K134" r:id="rId354" xr:uid="{A5FDEC85-4BEF-4D8C-B3B7-60CBDE0C0CB1}"/>
    <hyperlink ref="K142" r:id="rId355" xr:uid="{2761ECC9-D052-4246-8D19-3DDF0EF1F9A4}"/>
    <hyperlink ref="K133:K135" r:id="rId356" display="ICFES-555-2025" xr:uid="{52B1E1EF-C0BF-4B6F-8DDB-B10B14EE5800}"/>
    <hyperlink ref="K152" r:id="rId357" xr:uid="{DB9FBA40-0991-448C-ADD9-E2F6127FF302}"/>
    <hyperlink ref="K153" r:id="rId358" xr:uid="{10D4EAAF-88E6-4715-80B6-4EBE0CB5CCC5}"/>
    <hyperlink ref="K154" r:id="rId359" xr:uid="{D85BDC93-6CA1-4A99-A8D3-EB2FAF2E0CF9}"/>
    <hyperlink ref="K91" r:id="rId360" display="5. Documentos contractuales" xr:uid="{17D9B6DE-9FF2-4764-A74B-E0458BB9BA37}"/>
    <hyperlink ref="K92" r:id="rId361" display="5. Documentos contractuales" xr:uid="{9EA1D04C-659E-470B-BFE4-A434B9FB7B31}"/>
    <hyperlink ref="K93" r:id="rId362" display="5. Documentos contractuales" xr:uid="{4C1C4219-F501-40A8-9B34-AF02CDAF190D}"/>
    <hyperlink ref="K94" r:id="rId363" display="5. Documentos contractuales" xr:uid="{F4B2553A-F504-4E6F-92D3-D123E3B8FF5A}"/>
    <hyperlink ref="K104" r:id="rId364" display="5.Documentos Contractuales" xr:uid="{09710DB7-D63D-4EA6-AA4F-87ED90A57E40}"/>
    <hyperlink ref="K105" r:id="rId365" display="5.Documentos Contractuales" xr:uid="{B2B54E76-EC5B-4F6D-88DC-8B108DB2F830}"/>
    <hyperlink ref="K103" r:id="rId366" display="5.Documentos Contractuales" xr:uid="{18B4BA45-641D-4599-B6B7-580728AB0D9D}"/>
    <hyperlink ref="K106" r:id="rId367" display="5.Documentos Contractuales" xr:uid="{E99D8E42-959E-4B5A-A725-227E88EE6719}"/>
    <hyperlink ref="K107" r:id="rId368" display="5.Documentos Contractuales" xr:uid="{355BFB47-1311-4D4D-8E23-9B38BD1952E4}"/>
    <hyperlink ref="K61" r:id="rId369" display="00. Administrativo" xr:uid="{D83077C0-15C8-4CF4-85AB-4C237010D71B}"/>
    <hyperlink ref="K62" r:id="rId370" display="00. Administrativo" xr:uid="{6C562FC7-F0C2-48E6-A361-14509120A7B3}"/>
    <hyperlink ref="K9" r:id="rId371" xr:uid="{B7045E7D-971C-423E-B683-A56E9201BDBD}"/>
    <hyperlink ref="K11:K12" r:id="rId372" display="Contrato No. 4134.010.26.1.0441-2024" xr:uid="{2CCEAAFF-BCB7-45F0-9661-1B6B88D4FEC9}"/>
    <hyperlink ref="K15" r:id="rId373" xr:uid="{7D77EA4D-48FE-45E6-800F-9BFE9168593D}"/>
    <hyperlink ref="K16" r:id="rId374" xr:uid="{74548184-B48B-48C2-AF29-635079D6A7BB}"/>
    <hyperlink ref="K17" r:id="rId375" xr:uid="{029AD822-4D86-478F-9BA6-598EA6CBA81C}"/>
    <hyperlink ref="K35" r:id="rId376" xr:uid="{4FC57A0D-700C-41E8-8672-E74CFAA3CD37}"/>
    <hyperlink ref="K36:K37" r:id="rId377" display="CONTRATO HIGH TECH SOFTWARE VF Final" xr:uid="{3353540F-1FC3-49D3-8617-74AD95D4C03D}"/>
    <hyperlink ref="K140" r:id="rId378" xr:uid="{3C534638-279E-48C0-A4B3-9A4B2677D37B}"/>
    <hyperlink ref="K141" r:id="rId379" xr:uid="{EF7BEAA7-94DC-474E-BEE6-F010923999F5}"/>
    <hyperlink ref="K13" r:id="rId380" xr:uid="{91818140-6F8C-4C84-92FC-9DE0EF8FCA5B}"/>
    <hyperlink ref="K155" r:id="rId381" xr:uid="{AF4DB048-7681-4777-A7FD-E023D3198121}"/>
    <hyperlink ref="K156" r:id="rId382" xr:uid="{9F6B5489-EFDD-450B-ABB1-B5BA952C1E11}"/>
    <hyperlink ref="K68" r:id="rId383" xr:uid="{0892D9F2-1BD0-4533-A41E-626C862C8621}"/>
    <hyperlink ref="K69" r:id="rId384" xr:uid="{436C60DA-5EA6-4F0A-9F1E-C6FC2AB85A69}"/>
    <hyperlink ref="K70" r:id="rId385" xr:uid="{A089459C-6EC7-4E55-84C0-A416F0EB29F0}"/>
    <hyperlink ref="K71" r:id="rId386" xr:uid="{19C18F37-14AF-4051-86D7-5D453AC2DCCF}"/>
    <hyperlink ref="K72" r:id="rId387" xr:uid="{1ED45EC7-53D1-472D-8B6B-FAD56D05A6CB}"/>
    <hyperlink ref="K144" r:id="rId388" xr:uid="{BD26BB91-9E78-48F3-88B3-D33F62F1F624}"/>
    <hyperlink ref="K143:K146" r:id="rId389" display="PO-148314_v1_20250627" xr:uid="{1BB73DB6-F819-4489-9E4D-7B2181BB4E25}"/>
    <hyperlink ref="K66:K67" r:id="rId390" display="PO-140333_v1_20241227" xr:uid="{E74D98B2-C222-4D60-AF6C-AA98F0280971}"/>
    <hyperlink ref="K52" r:id="rId391" xr:uid="{53A10B31-D8D4-47DE-A949-0C07C6ED1191}"/>
    <hyperlink ref="K55:K56" r:id="rId392" display="NUVU - Proyectos - 01. Habilitacion - Todos los documentos" xr:uid="{E5ADFC0A-BA68-4EC3-B52B-25FD7C093147}"/>
    <hyperlink ref="K55" r:id="rId393" xr:uid="{AB48AACE-54B1-4296-9842-46D85AA628A8}"/>
    <hyperlink ref="K56" r:id="rId394" xr:uid="{11B02F46-5D69-4505-B88E-E0EBE41B4E15}"/>
    <hyperlink ref="K136" r:id="rId395" xr:uid="{787C6AE3-872D-425D-BA7E-48929AE0C070}"/>
    <hyperlink ref="K137" r:id="rId396" xr:uid="{595FBD59-D37B-4163-BFEB-5BAEE9538FFB}"/>
    <hyperlink ref="K138" r:id="rId397" xr:uid="{F94DB80D-188F-4A46-BDF7-27DAB379DDF1}"/>
    <hyperlink ref="K139" r:id="rId398" xr:uid="{BB133A4F-4BA7-4AD9-8C0B-96EB1C82E48C}"/>
    <hyperlink ref="K161" r:id="rId399" xr:uid="{885FBF69-9057-42CE-8D8B-D3D6CA2744BD}"/>
    <hyperlink ref="K160" r:id="rId400" xr:uid="{F38DFD1E-10E1-4212-9E9F-E03BE0334211}"/>
    <hyperlink ref="K163" r:id="rId401" xr:uid="{E23A8070-8342-4CCB-A4DC-EFF72E634DE9}"/>
    <hyperlink ref="K49" r:id="rId402" xr:uid="{6EE5773B-4FD9-4894-AA42-96639FFD1CF8}"/>
    <hyperlink ref="K34" r:id="rId403" xr:uid="{A3061581-4984-4C05-9AB5-3C64F7156425}"/>
    <hyperlink ref="K38" r:id="rId404" xr:uid="{289E4237-5445-420E-A7A6-8E4171135B35}"/>
    <hyperlink ref="K75" r:id="rId405" xr:uid="{64082DEF-B5B6-4427-9BA2-65C57583E29C}"/>
    <hyperlink ref="K76" r:id="rId406" xr:uid="{0E611A95-AF4D-4770-8773-6120AF47D0F1}"/>
    <hyperlink ref="K77" r:id="rId407" xr:uid="{47C46180-DB35-4D99-AE75-6333516432C1}"/>
    <hyperlink ref="K51" r:id="rId408" xr:uid="{BDED6BED-D865-4F92-A398-64D9867CA82D}"/>
    <hyperlink ref="K50" r:id="rId409" xr:uid="{2F414476-71BE-41FE-A60F-8B7B78A7449F}"/>
    <hyperlink ref="K88" r:id="rId410" xr:uid="{CF1F068F-3696-48B4-AC47-DDAB7A8D639A}"/>
    <hyperlink ref="K29" r:id="rId411" xr:uid="{BA7DF90C-25EE-4443-92E9-7D0AA8F74C76}"/>
    <hyperlink ref="K31" r:id="rId412" xr:uid="{4569FFA5-E42C-4B54-91E6-3ECEEBB64BB4}"/>
    <hyperlink ref="K108" r:id="rId413" xr:uid="{ACD23563-729A-449C-89D1-E8A4E5BBB4C1}"/>
    <hyperlink ref="K109" r:id="rId414" xr:uid="{6BCE0421-80C3-41E5-B573-2F0DC7EE81AB}"/>
    <hyperlink ref="K127" r:id="rId415" xr:uid="{4D4A63BE-5F86-4ABC-A8D1-B82226C4D724}"/>
    <hyperlink ref="K117" r:id="rId416" xr:uid="{BC2BAB86-267B-4DF2-A6BF-96983B02861C}"/>
    <hyperlink ref="K118" r:id="rId417" xr:uid="{2687D302-90A9-4E24-A0FB-05A4EA836D94}"/>
    <hyperlink ref="K129" r:id="rId418" xr:uid="{7E25FA05-428D-4630-9D42-A831005CA68F}"/>
    <hyperlink ref="K130" r:id="rId419" xr:uid="{1AF75460-2413-4B4A-B71B-60E2728DDBE2}"/>
    <hyperlink ref="K120" r:id="rId420" xr:uid="{0A8BD6E1-BEAB-48F2-AEB1-A065DC62941B}"/>
    <hyperlink ref="K110" r:id="rId421" xr:uid="{FCE73B67-AD7E-4A85-9997-34AE9AE4B486}"/>
    <hyperlink ref="K128" r:id="rId422" xr:uid="{7D61E47E-9E1B-450C-A264-4127959AC176}"/>
    <hyperlink ref="K79" r:id="rId423" xr:uid="{E30F8606-F007-4EFA-ADFE-F2DC2533D545}"/>
    <hyperlink ref="K170" r:id="rId424" xr:uid="{6808D739-FD39-4F10-8959-FCDD313846D8}"/>
    <hyperlink ref="K169" r:id="rId425" xr:uid="{39BCD7D4-DE4B-416F-9CE6-856D12198CAF}"/>
    <hyperlink ref="K114" r:id="rId426" xr:uid="{DA2C3374-3511-4356-9EAF-506D0A321E19}"/>
    <hyperlink ref="K180" r:id="rId427" xr:uid="{73BF0ED2-235F-4CAB-91F0-DCA7D6B923AF}"/>
    <hyperlink ref="K181" r:id="rId428" xr:uid="{694D8D57-CA68-488A-815E-570FD61CE93B}"/>
    <hyperlink ref="K173" r:id="rId429" xr:uid="{C9259FC7-B7A6-4F3B-A125-87CF86205DD0}"/>
    <hyperlink ref="K172" r:id="rId430" xr:uid="{1CA70900-93D5-4F75-94C4-95DC208C252F}"/>
    <hyperlink ref="K171" r:id="rId431" xr:uid="{B93DB8DA-48C4-49EF-8E93-D4E48DC7D03E}"/>
    <hyperlink ref="K196" r:id="rId432" xr:uid="{BC47C988-CCD4-4A0F-A50B-02664D15995B}"/>
    <hyperlink ref="K197" r:id="rId433" xr:uid="{EEBCD9C4-0D81-444C-9E32-7A446834883F}"/>
    <hyperlink ref="K198" r:id="rId434" xr:uid="{374987BA-087B-4346-9D57-D2E7A395CCB1}"/>
    <hyperlink ref="K199" r:id="rId435" xr:uid="{10B511D8-11EB-433F-B51C-85C57B9541AF}"/>
    <hyperlink ref="K200" r:id="rId436" xr:uid="{F777B6AF-95E3-4A4E-B670-2C29D3986AB4}"/>
    <hyperlink ref="K201" r:id="rId437" xr:uid="{7A7A946C-6B80-49FD-8470-A481C931EC61}"/>
    <hyperlink ref="K197:K199" r:id="rId438" display="[P2604] ACA - Hacienda a un Click" xr:uid="{34EEAE11-13E9-49A9-A7D6-B7CDCD99807D}"/>
    <hyperlink ref="K179" r:id="rId439" xr:uid="{93B61272-C19E-4B0B-A71A-912E2CD2FF01}"/>
    <hyperlink ref="K177" r:id="rId440" xr:uid="{A784C4AC-B38D-47C7-A271-F2D3A6543DC2}"/>
    <hyperlink ref="N201" r:id="rId441" xr:uid="{7FB095E1-BBA6-42C1-8CAF-CAC96C408550}"/>
    <hyperlink ref="K32" r:id="rId442" xr:uid="{F69C82D5-9689-49DA-A023-B89F4814A50B}"/>
    <hyperlink ref="M32" r:id="rId443" display="alejandra.gomez@blend360.com" xr:uid="{A6DBAA87-641C-4A42-B3AA-D0EAA4416F48}"/>
    <hyperlink ref="N32" r:id="rId444" display="Nocilas Revollo" xr:uid="{2E00C27C-400B-47E2-A28F-63179F174D75}"/>
    <hyperlink ref="K183" r:id="rId445" xr:uid="{2373D2DC-592A-4843-B0E7-456F0A875E0C}"/>
    <hyperlink ref="K208" r:id="rId446" xr:uid="{FC7B94F1-2E91-49B8-BBEB-09975540145A}"/>
    <hyperlink ref="K203:K205" r:id="rId447" display="Icfes - Banco de Items" xr:uid="{7055BEA0-C4B4-4D73-B58A-73D60974AD57}"/>
    <hyperlink ref="K211" r:id="rId448" xr:uid="{E937FCF3-C406-4D29-AF74-22BC08F61831}"/>
    <hyperlink ref="K207:K208" r:id="rId449" display="Operacion e infraestructura AWS" xr:uid="{CF16F390-A777-45BD-8C70-DF6697C25D83}"/>
    <hyperlink ref="K215" r:id="rId450" xr:uid="{45BD430B-57EB-43DE-84A7-F0FA89C8F55D}"/>
    <hyperlink ref="K214" r:id="rId451" xr:uid="{CF25EE0A-2EEA-4560-87B1-D95257BAB81E}"/>
    <hyperlink ref="K213" r:id="rId452" xr:uid="{080DF79E-CA80-4E2D-8541-DB760F51C3F9}"/>
    <hyperlink ref="K212" r:id="rId453" xr:uid="{CDD44069-BC0B-45E8-9C3E-7D067CC25E20}"/>
    <hyperlink ref="K217" r:id="rId454" xr:uid="{8C4A514E-7A8C-4B8F-A811-29ECED5BBB4E}"/>
    <hyperlink ref="J217" r:id="rId455" xr:uid="{69358D70-12EB-41B2-A3D9-F47BC446179D}"/>
    <hyperlink ref="J219" r:id="rId456" xr:uid="{8D2A4545-05BD-4167-AC08-5E5B68554337}"/>
    <hyperlink ref="K219" r:id="rId457" xr:uid="{3C8A95F9-5C08-40A5-8965-2F7DD7EF23AD}"/>
    <hyperlink ref="K216" r:id="rId458" xr:uid="{87F62A3D-92EC-4098-BD69-17C4E8C5BE28}"/>
    <hyperlink ref="J119" r:id="rId459" xr:uid="{EE7F2258-4A5F-4A0C-8450-104BAF6C26E8}"/>
    <hyperlink ref="M119" r:id="rId460" display="alejandra.gomez@blend360.com" xr:uid="{7DF140F6-5356-40C7-B8E8-BC15E7ACB06C}"/>
    <hyperlink ref="K119" r:id="rId461" xr:uid="{4D6648F3-931D-4687-B8BB-B8802D74D602}"/>
    <hyperlink ref="J223" r:id="rId462" xr:uid="{8C88AA6D-3540-4DE1-BC11-BDE0D29A0E82}"/>
    <hyperlink ref="J220:J221" r:id="rId463" display="NUVU - Proyectos - 01. Documentación Esencial - Todos los documentos" xr:uid="{5A71E0C7-EB29-437A-A71F-93A8A7F4D76B}"/>
    <hyperlink ref="K223" r:id="rId464" xr:uid="{6E34993B-D625-49E6-9BDC-D5692A4EA1F6}"/>
    <hyperlink ref="K220:K221" r:id="rId465" display="NUVU - Proyectos - Documentos - [P0388] Servicio de Diseño e Implementación de Inteligencia de Negocios y Analítica - Todos los documentos" xr:uid="{F78BAF10-0BEB-4CA8-81E5-C663E357650C}"/>
    <hyperlink ref="J116" r:id="rId466" xr:uid="{2565893C-7A6C-4F91-B435-54E9F80BC022}"/>
    <hyperlink ref="M116" r:id="rId467" display="alejandra.gomez@blend360.com" xr:uid="{B33C11F8-F0B9-4162-926C-54959B1DD6CE}"/>
    <hyperlink ref="K116" r:id="rId468" xr:uid="{D4D08A06-A3AD-4531-9D4A-2460F67C95C1}"/>
    <hyperlink ref="M115" r:id="rId469" display="alejandra.gomez@blend360.com" xr:uid="{9CBD7B99-E40B-4531-912E-3BD4B574D7FB}"/>
    <hyperlink ref="J115" r:id="rId470" xr:uid="{D20F36DD-F4B8-4E89-B86E-088F514BF06A}"/>
    <hyperlink ref="K115" r:id="rId471" xr:uid="{7C0D5302-48FB-4495-B966-2BAEC8F2397A}"/>
    <hyperlink ref="J229" r:id="rId472" xr:uid="{DCC3266E-8A3F-47D7-BEF3-76FD74727871}"/>
    <hyperlink ref="J230:J232" r:id="rId473" display="Secretaría Tecnica" xr:uid="{0974F418-0AD3-40F8-96D5-424705CA8F7A}"/>
    <hyperlink ref="J228" r:id="rId474" xr:uid="{49081A8D-ADDC-456C-8E10-7DD2F6919B24}"/>
    <hyperlink ref="J226:J228" r:id="rId475" display="Juegos Localizados" xr:uid="{6B2DEE2F-B336-4513-A2F1-CA9EFD88E2B9}"/>
    <hyperlink ref="K229" r:id="rId476" xr:uid="{6CF403FD-D992-4C85-86A5-E3951685E586}"/>
    <hyperlink ref="K228" r:id="rId477" xr:uid="{A682BE10-783B-4129-89A1-84C26E534BE8}"/>
    <hyperlink ref="K226:K228" r:id="rId478" display="[P0389] CJU - Localizados Renovacion" xr:uid="{2700A261-54FF-489E-8B85-AB8D94FA2D26}"/>
    <hyperlink ref="K230:K232" r:id="rId479" display="[P0390] CJU - STecnica Renovacion" xr:uid="{557F83AD-EDF1-47F0-BFD4-391EEDE3A66D}"/>
    <hyperlink ref="K234" r:id="rId480" xr:uid="{F43E5689-11F0-4161-A425-C82DEF2E03B4}"/>
    <hyperlink ref="K235" r:id="rId481" xr:uid="{7A87CF0D-9E4D-43BB-BE22-8A353D8B377A}"/>
    <hyperlink ref="K233" r:id="rId482" xr:uid="{616898DD-6AB0-486D-AED9-B0A8064F0F9D}"/>
    <hyperlink ref="J233" r:id="rId483" xr:uid="{9A35C996-65EB-4444-BAA8-02FF5486FE91}"/>
    <hyperlink ref="J234" r:id="rId484" xr:uid="{72C1C5FC-96D6-427A-B6F3-32537E98AADF}"/>
    <hyperlink ref="J235" r:id="rId485" xr:uid="{9752A496-3322-4DBF-9815-499D66E1AF19}"/>
    <hyperlink ref="M236" r:id="rId486" display="alejandra.gomez@blend360.com" xr:uid="{72451686-F817-4093-AFC1-AF8F2E606B3B}"/>
    <hyperlink ref="N236" r:id="rId487" xr:uid="{A4DA00F7-7B66-49A7-BCE3-6CA504847192}"/>
    <hyperlink ref="K236" r:id="rId488" xr:uid="{B8CCD92E-11DF-4C1F-B470-858C757086C0}"/>
    <hyperlink ref="K237" r:id="rId489" xr:uid="{9B9537C3-EBAF-49B0-956E-66784A3A2603}"/>
    <hyperlink ref="K238" r:id="rId490" xr:uid="{14B3F490-14E6-43F7-AE78-42D7C4B7D67E}"/>
    <hyperlink ref="K239" r:id="rId491" xr:uid="{15724175-CEED-4F75-ABAB-751883005B84}"/>
    <hyperlink ref="K240" r:id="rId492" xr:uid="{16731B90-B89E-4E35-89AD-F62BA181B537}"/>
    <hyperlink ref="N237:N240" r:id="rId493" display="Juan Zambrano" xr:uid="{C10F9E4F-02A8-4E80-8F18-470AC4041C52}"/>
    <hyperlink ref="M241:M243" r:id="rId494" display="alejandra.gomez@blend360.com" xr:uid="{8050043F-B868-4E3C-8704-33A700C09735}"/>
    <hyperlink ref="N241:N243" r:id="rId495" display="Juan Zambrano" xr:uid="{9915970D-55AE-4914-A95E-C46D3F6605BC}"/>
    <hyperlink ref="M244:M247" r:id="rId496" display="alejandra.gomez@blend360.com" xr:uid="{914ED2B7-D61B-4958-A97B-17C7299C77B8}"/>
    <hyperlink ref="J244" r:id="rId497" xr:uid="{BED9CC9D-92CF-447B-82D4-0320C72A55DE}"/>
    <hyperlink ref="J245:J247" r:id="rId498" display="Doc Contractual" xr:uid="{C369D75B-8485-472C-9EA8-88A924200E12}"/>
    <hyperlink ref="C253" r:id="rId499" xr:uid="{0FE42EB2-C0B1-4E5D-8C3C-BC17B653F8B1}"/>
    <hyperlink ref="L61:L62" r:id="rId500" display="juan.bernal@blend360.com" xr:uid="{C1AB4CFF-D46B-4F62-842B-BEE5040E1582}"/>
    <hyperlink ref="L18" r:id="rId501" display="juan.bernal@blend360.com" xr:uid="{CDF56C7D-9E90-42D2-A33E-579F65D96499}"/>
    <hyperlink ref="N9:N21" r:id="rId502" display="Carlos Sierra" xr:uid="{08037225-1D43-40C4-A1B9-6FB2ADDA52E4}"/>
    <hyperlink ref="N23" r:id="rId503" xr:uid="{12A9D2E5-C027-4207-AE46-ADB1E6426560}"/>
    <hyperlink ref="N24:N26" r:id="rId504" display="Carlos Sierra" xr:uid="{634DD75C-B8FB-410F-9695-C9A97A5EDED2}"/>
    <hyperlink ref="N40" r:id="rId505" xr:uid="{D56C89C9-3DDD-4CA5-B59C-2987D48894EE}"/>
    <hyperlink ref="N41:N43" r:id="rId506" display="Carlos Sierra" xr:uid="{CD417925-EFCB-42E7-904D-0FDE164B107F}"/>
    <hyperlink ref="N55" r:id="rId507" xr:uid="{8049CFA4-DB10-43BB-9AB5-07332544B4A3}"/>
    <hyperlink ref="N58:N59" r:id="rId508" display="Moises Rojas" xr:uid="{BACD160D-67EE-40E5-B09D-E89FDB57C343}"/>
    <hyperlink ref="N61" r:id="rId509" xr:uid="{DCF26B01-AD70-42F4-91A2-92F33648592A}"/>
    <hyperlink ref="N62" r:id="rId510" xr:uid="{3AB8627B-1E88-46AA-9672-D52676FFE888}"/>
    <hyperlink ref="N67" r:id="rId511" xr:uid="{5D1FECEE-49B2-4BDD-A0C3-4A842C73D953}"/>
    <hyperlink ref="N78" r:id="rId512" xr:uid="{E0F33462-4DF7-42A6-8D2B-43E32C40835F}"/>
    <hyperlink ref="N88" r:id="rId513" xr:uid="{07ED1D10-6FCF-4C27-B4C2-791A378487EF}"/>
    <hyperlink ref="N82" r:id="rId514" xr:uid="{E5D723E5-A05C-42AF-8A08-6BDC0C1204BB}"/>
    <hyperlink ref="N83" r:id="rId515" xr:uid="{9EFE354F-DECE-4980-80EF-9A6159902BFF}"/>
    <hyperlink ref="N103" r:id="rId516" xr:uid="{BAA1AB6B-1269-4F8C-8669-294362C9FAFD}"/>
    <hyperlink ref="N105:N108" r:id="rId517" display="Carlos Sierra" xr:uid="{1C973D83-D053-4AB6-8DC0-E759AC546717}"/>
    <hyperlink ref="N134" r:id="rId518" xr:uid="{1E495198-AC41-4780-9DF4-BCB00338322D}"/>
    <hyperlink ref="N125:N131" r:id="rId519" display="Nicolas Revollo" xr:uid="{49AEF263-2DC1-4D99-A07A-FDD095DFC91B}"/>
    <hyperlink ref="N155" r:id="rId520" xr:uid="{B1F57A1E-F3E0-4828-8D6E-11A575E72F57}"/>
    <hyperlink ref="N139:N142" r:id="rId521" display="Nicolas Revollo" xr:uid="{FEA276D7-8398-47AA-B27C-F59FDA413F64}"/>
    <hyperlink ref="N147" r:id="rId522" xr:uid="{55B5772E-0E7A-4191-99F2-123AD2E674FB}"/>
    <hyperlink ref="N148" r:id="rId523" xr:uid="{CB3D3DAF-B328-4C9F-8D1D-353F5C9725EA}"/>
    <hyperlink ref="N270" r:id="rId524" xr:uid="{23589F6E-65F3-4A35-843D-8CB7C606CBA6}"/>
    <hyperlink ref="N153:N155" r:id="rId525" display="Moises Rojas" xr:uid="{EBF8043A-32A9-4ED9-BAC6-EE676740C43B}"/>
    <hyperlink ref="N161" r:id="rId526" xr:uid="{73BAC837-D3CD-4CE9-8130-B673BA699560}"/>
    <hyperlink ref="N165:N166" r:id="rId527" display="Carlos Sierra" xr:uid="{EB96D3FB-223F-4E80-8518-57F3F2A9E76B}"/>
    <hyperlink ref="N177" r:id="rId528" xr:uid="{55A20116-B400-4241-B97E-6728973FD95C}"/>
    <hyperlink ref="N180" r:id="rId529" xr:uid="{F03D8D38-E07A-461E-9802-D2B24381AAD0}"/>
    <hyperlink ref="N196" r:id="rId530" xr:uid="{1FA6BF4C-1BC5-4527-9721-68304A01A0C0}"/>
    <hyperlink ref="N188:N191" r:id="rId531" display="Nicolas Revollo" xr:uid="{BDBE5EF0-E6F5-4A48-BB9E-5259FD431F9F}"/>
    <hyperlink ref="N223" r:id="rId532" xr:uid="{18E40CF0-8BE5-4ABE-ADA5-CEAF66368E33}"/>
    <hyperlink ref="N220:N221" r:id="rId533" display="Moises Rojas" xr:uid="{5E440AF7-9773-45E7-999A-C73A0BD0305C}"/>
    <hyperlink ref="K264" r:id="rId534" xr:uid="{89D12BA4-92A5-46AD-9679-1A58CD629103}"/>
    <hyperlink ref="N264" r:id="rId535" xr:uid="{B8AE4B29-5194-4156-B6B9-AA34FCD891E5}"/>
    <hyperlink ref="N197:N199" r:id="rId536" display="Nicolas Revollo" xr:uid="{15B1DC5E-C8EA-49FC-AA1B-7CB186055B10}"/>
    <hyperlink ref="N176:N177" r:id="rId537" display="N.A." xr:uid="{650FEE64-5CB8-406E-BDDE-ACC3BD309777}"/>
    <hyperlink ref="K176:K177" r:id="rId538" display="Documentos esenciales" xr:uid="{AFB05C91-89B7-432F-AB94-234EA3A9990F}"/>
    <hyperlink ref="K178" r:id="rId539" xr:uid="{48685C4E-8AC4-41BC-9969-592F5D2D5F28}"/>
    <hyperlink ref="M80" r:id="rId540" display="alejandra.gomez@blend360.com" xr:uid="{0F164E89-8651-4EC3-B103-34A3CC69DC9B}"/>
    <hyperlink ref="K80" r:id="rId541" xr:uid="{356A8A8A-8554-4EF6-8BCF-655DA4279FC7}"/>
    <hyperlink ref="J111" r:id="rId542" xr:uid="{ACEA4AB9-662C-42CA-AB9A-92926A31E770}"/>
    <hyperlink ref="K111" r:id="rId543" xr:uid="{AA2250E7-1BFE-41E4-AF7F-394A9A8AB9AB}"/>
    <hyperlink ref="M113" r:id="rId544" display="alejandra.gomez@blend360.com" xr:uid="{C417714E-E571-40B4-A16A-F2D108EE36A1}"/>
    <hyperlink ref="M112" r:id="rId545" display="alejandra.gomez@blend360.com" xr:uid="{249A146C-1021-4BCC-A02A-3CD3653DAFBE}"/>
    <hyperlink ref="M111" r:id="rId546" display="alejandra.gomez@blend360.com" xr:uid="{D1C37FD6-AE6F-4F68-9DB4-B407EEBD9679}"/>
    <hyperlink ref="K112" r:id="rId547" xr:uid="{93A5D4B6-B48B-4514-AF4C-72D8CA498076}"/>
    <hyperlink ref="K113" r:id="rId548" xr:uid="{6F4727B5-293D-44A6-BBE8-DD30A0BEDF95}"/>
    <hyperlink ref="N271:N273" r:id="rId549" display="Carlos Sierra" xr:uid="{A70BE266-4861-4028-9897-6E2DCC98EFE5}"/>
    <hyperlink ref="M95" r:id="rId550" display="marcela.sanchez@blend360.com" xr:uid="{4550DA8C-9DA7-4B6F-8B84-5FFF81D5484B}"/>
    <hyperlink ref="N95" r:id="rId551" xr:uid="{DD4CA3B0-B9C9-4CCD-8321-2815E89A5015}"/>
    <hyperlink ref="J95" r:id="rId552" display="NUVU - Proyectos - [P0347] - PON - IAPOL-G - IA Generativa - All Documents" xr:uid="{A47BB782-029C-454A-A88A-BF216D9C3902}"/>
    <hyperlink ref="L95" r:id="rId553" display="carolina.aleman@blend360.com" xr:uid="{B9B6FBEB-8666-4C9A-AB19-FAAC0F3ADAFB}"/>
    <hyperlink ref="K95" r:id="rId554" display="OC 145303 - 20250425" xr:uid="{05274506-8E07-480E-8D04-4D869BC7E7B8}"/>
    <hyperlink ref="K95" r:id="rId555" display="5. Documentos contractuales" xr:uid="{8C4CBDD0-CD2D-4F69-96F3-1F6D3798D078}"/>
    <hyperlink ref="N186" r:id="rId556" xr:uid="{D6E3B118-DB30-4501-9F37-83F481B1093C}"/>
    <hyperlink ref="K186" r:id="rId557" display="Documentos esenciales" xr:uid="{329A077C-C66E-47F3-A566-63EDC273577C}"/>
    <hyperlink ref="N188" r:id="rId558" xr:uid="{8A5C9874-D4F0-46F4-9360-AE2E553BAEE7}"/>
    <hyperlink ref="K188" r:id="rId559" display="Documentos esenciales" xr:uid="{337645C9-8A6D-4E95-A430-362A394526D4}"/>
    <hyperlink ref="N187" r:id="rId560" xr:uid="{5B6D560D-0EF1-4565-A81F-6A5271686EF4}"/>
    <hyperlink ref="K187" r:id="rId561" display="Documentos esenciales" xr:uid="{E492C2AD-9A8D-4CC9-97B0-5FC92C9A0F63}"/>
    <hyperlink ref="K182" r:id="rId562" xr:uid="{905F79E2-8291-4B17-AAC0-A5B6974E1E7A}"/>
    <hyperlink ref="K184" r:id="rId563" xr:uid="{01363B76-EFE8-4801-AC12-53AA1AA3F21B}"/>
    <hyperlink ref="L205" r:id="rId564" display="juan.bernal@blend360.com" xr:uid="{F7FE5CFA-78FA-4C9A-82D7-C74086F9D633}"/>
    <hyperlink ref="L206" r:id="rId565" display="juan.bernal@blend360.com" xr:uid="{958AC32D-AFDE-44D1-826E-A3F83C7BD8F2}"/>
    <hyperlink ref="L207" r:id="rId566" display="juan.bernal@blend360.com" xr:uid="{BCC12237-98BC-42D1-987B-DD0D9A03A123}"/>
    <hyperlink ref="L208" r:id="rId567" display="juan.bernal@blend360.com" xr:uid="{A255839D-566E-4F37-892C-DF2A490B0D75}"/>
    <hyperlink ref="L209" r:id="rId568" display="juan.bernal@blend360.com" xr:uid="{87C17A8B-FCF0-40EC-A931-5BABCF1616A9}"/>
    <hyperlink ref="L210:L216" r:id="rId569" display="juan.bernal@blend360.com" xr:uid="{72A0E4B7-9821-474E-BA0D-C1F455B2A5EF}"/>
    <hyperlink ref="L253" r:id="rId570" display="juan.bernal@blend360.com" xr:uid="{B3AE2D28-8FF9-45F7-931E-98B68948AD65}"/>
    <hyperlink ref="L254" r:id="rId571" display="juan.bernal@blend360.com" xr:uid="{707C0B46-D839-495C-A57E-2020E58BC6F2}"/>
    <hyperlink ref="L255" r:id="rId572" display="juan.bernal@blend360.com" xr:uid="{30EF5831-4588-4614-8C57-AA4A5D3A7633}"/>
    <hyperlink ref="L256" r:id="rId573" display="juan.bernal@blend360.com" xr:uid="{37BEEB09-A655-41B7-A2B4-2D02246FE554}"/>
    <hyperlink ref="L257" r:id="rId574" display="juan.bernal@blend360.com" xr:uid="{7B28D84D-C903-4715-9909-65B6BB864465}"/>
    <hyperlink ref="L258" r:id="rId575" display="juan.bernal@blend360.com" xr:uid="{69FAC016-2EBC-463A-9557-51F39A362CDE}"/>
    <hyperlink ref="L265" r:id="rId576" display="juan.bernal@blend360.com" xr:uid="{6378DCA9-E6A7-4F39-890C-65ED3DE6763A}"/>
    <hyperlink ref="L266" r:id="rId577" display="juan.bernal@blend360.com" xr:uid="{FBC61B00-A3E3-4993-8291-6CE7D2591BA8}"/>
    <hyperlink ref="L267" r:id="rId578" display="juan.bernal@blend360.com" xr:uid="{A2116573-C748-40B2-A983-8EEBAF87DF64}"/>
    <hyperlink ref="L268" r:id="rId579" display="juan.bernal@blend360.com" xr:uid="{B7DE4F4F-CC00-4408-929A-23AD58DA2128}"/>
    <hyperlink ref="L269" r:id="rId580" display="juan.bernal@blend360.com" xr:uid="{A867D54A-249C-4742-A527-BAAC3095384E}"/>
    <hyperlink ref="L84:L86" r:id="rId581" display="juan.bernal@blend360.com" xr:uid="{A32C8834-A46F-4A20-BE53-C60EEDF9626E}"/>
    <hyperlink ref="L134" r:id="rId582" display="juan.bernal@blend360.com" xr:uid="{90199573-46DB-4223-9E9A-486BF47F16D5}"/>
    <hyperlink ref="L21" r:id="rId583" display="juan.bernal@blend360.com" xr:uid="{250D10CF-B3D8-4458-83B0-71F9004CF157}"/>
    <hyperlink ref="U91" r:id="rId584" xr:uid="{20817193-819B-460D-AE0C-9626DA6EF029}"/>
    <hyperlink ref="U92" r:id="rId585" xr:uid="{B1BEA548-E8C7-49F0-B234-7452AB5CF0E8}"/>
    <hyperlink ref="U93" r:id="rId586" xr:uid="{62AE074A-BF8D-406F-9A9D-275E316BE45E}"/>
    <hyperlink ref="U94" r:id="rId587" xr:uid="{BC158450-E39C-41B7-A721-0CD2F5ED1622}"/>
    <hyperlink ref="U95" r:id="rId588" xr:uid="{706ED0B4-873E-4634-8C51-0E9BF7F0CF9D}"/>
    <hyperlink ref="V91" r:id="rId589" xr:uid="{93B8443A-7418-443F-932A-F3687E2092F4}"/>
    <hyperlink ref="V92:V95" r:id="rId590" display="CET Ponal" xr:uid="{FAE92B3D-4B12-45D1-A142-2DADF255C4AD}"/>
    <hyperlink ref="W91" r:id="rId591" xr:uid="{43AD2C9B-2E10-40E3-9F8F-50784D5B602C}"/>
    <hyperlink ref="W92:W95" r:id="rId592" display="Anexo técnico" xr:uid="{1F903A9F-DA44-46A5-9529-95FEF70E4FD2}"/>
    <hyperlink ref="Y233" r:id="rId593" xr:uid="{4115E8F7-248B-4696-BDA5-B7AE62C94565}"/>
    <hyperlink ref="U233" r:id="rId594" xr:uid="{A6DE647F-7582-4F64-B3B8-1E33734C1A35}"/>
    <hyperlink ref="V233" r:id="rId595" xr:uid="{8728BCA6-FA67-4251-99F8-C60EF95462D6}"/>
    <hyperlink ref="W233" r:id="rId596" xr:uid="{AF38F3E9-7FEE-4EBA-8FA0-BE250D8C6293}"/>
    <hyperlink ref="Z233" r:id="rId597" xr:uid="{B7E5E946-9CC9-4C01-8BA4-AC34DF1DD2B3}"/>
    <hyperlink ref="Y234" r:id="rId598" xr:uid="{DB027CF2-17B4-4D91-9320-C4D3287248BD}"/>
    <hyperlink ref="Y235" r:id="rId599" xr:uid="{62FC6139-0820-429B-87BD-2838F5AB38CC}"/>
    <hyperlink ref="U234" r:id="rId600" xr:uid="{C6435ED2-F9F5-4C87-A53F-9E0F10CC1114}"/>
    <hyperlink ref="U235" r:id="rId601" xr:uid="{6C51F594-935C-43BA-819A-E308A0C91FCC}"/>
    <hyperlink ref="V234" r:id="rId602" xr:uid="{44BE5651-4C48-47C2-ADE9-83A683B20C19}"/>
    <hyperlink ref="V235" r:id="rId603" xr:uid="{2DE30B8C-2788-4AF7-9556-25713194471C}"/>
    <hyperlink ref="W234" r:id="rId604" xr:uid="{F3CFC768-1800-4006-8611-2B5F21DACC63}"/>
    <hyperlink ref="W235" r:id="rId605" xr:uid="{BAC6040D-9300-4F4A-8B13-2E0AFEEF1607}"/>
    <hyperlink ref="Z234" r:id="rId606" xr:uid="{1CA830B3-F649-4250-A0B7-6B043B95B011}"/>
    <hyperlink ref="Z235" r:id="rId607" xr:uid="{6709424F-39F4-493D-A0D9-244C5248785F}"/>
    <hyperlink ref="Y91" r:id="rId608" xr:uid="{2BCFE718-DFDA-4024-A373-325632921129}"/>
    <hyperlink ref="Y92" r:id="rId609" xr:uid="{3899D6B2-8619-46DB-A90E-C23FF0EA453D}"/>
    <hyperlink ref="Y93" r:id="rId610" xr:uid="{A68B5CFD-6396-4926-BE53-662AA18D3A1B}"/>
    <hyperlink ref="Y94" r:id="rId611" xr:uid="{D51AA65D-830F-415F-9254-6D535A5DABCD}"/>
    <hyperlink ref="Y95" r:id="rId612" xr:uid="{DAE09189-6CAC-45A1-BB3C-49E867C30017}"/>
    <hyperlink ref="M23" r:id="rId613" display="marcela.sanchez@blend360.com" xr:uid="{2222374D-2CD3-444A-8452-2AF4E9A2F566}"/>
    <hyperlink ref="N202:N204" r:id="rId614" display="Carlos Sierra" xr:uid="{CECEA5F3-F64D-4A36-AFD4-A04D07C61405}"/>
    <hyperlink ref="M174:M175" r:id="rId615" display="Angeline Lozada" xr:uid="{77B78A8A-6B7C-4646-8632-DDCAF80977D9}"/>
    <hyperlink ref="M176" r:id="rId616" xr:uid="{78E73B8C-3FA7-4A8E-9DFD-6F473B90F4C2}"/>
    <hyperlink ref="M177:M179" r:id="rId617" display="Angeline Lozada" xr:uid="{73199870-596E-4300-BB43-D8F1210AF9F9}"/>
    <hyperlink ref="M201" r:id="rId618" xr:uid="{00C1BB54-C0E0-40B7-AA46-1726E22FD77B}"/>
    <hyperlink ref="M202:M204" r:id="rId619" display="Angeline Lozada" xr:uid="{402D517A-8338-4C4F-90BC-349CE0BF5F1A}"/>
    <hyperlink ref="M6" r:id="rId620" xr:uid="{B0818574-6513-4E47-BB7D-75FE50ED9E1E}"/>
    <hyperlink ref="M237:M240" r:id="rId621" display="alejandra.gomez@blend360.com" xr:uid="{9D16E3D7-9221-4EE2-BC1B-B55FA20C53BE}"/>
    <hyperlink ref="U103" r:id="rId622" xr:uid="{D290CBA8-2E9E-492B-B063-2368829E4FC9}"/>
    <hyperlink ref="V103" r:id="rId623" xr:uid="{F2B4C1F0-ECFD-47BA-9C1D-379044E0BC1C}"/>
    <hyperlink ref="W103" r:id="rId624" xr:uid="{E947B2C3-E82D-48E6-AE9B-2DD8174A63A5}"/>
    <hyperlink ref="Y103" r:id="rId625" xr:uid="{3BBF6F5C-EB62-40EB-A347-22A982DB8DD6}"/>
    <hyperlink ref="U104" r:id="rId626" xr:uid="{460834FE-F62E-4D82-A099-DF2820D26ED6}"/>
    <hyperlink ref="U105" r:id="rId627" xr:uid="{278D0E1F-B489-48D2-914D-C30344A29980}"/>
    <hyperlink ref="U106" r:id="rId628" xr:uid="{B998B587-D801-47A8-BD9D-C3BD7A2822ED}"/>
    <hyperlink ref="U107" r:id="rId629" xr:uid="{67044051-2758-4979-A848-6E1D7390E6D8}"/>
    <hyperlink ref="W104" r:id="rId630" xr:uid="{DEAA0E74-8F84-49DD-B51F-DB203BDEE3AF}"/>
    <hyperlink ref="W105" r:id="rId631" xr:uid="{FEEF4234-3207-4609-8E54-559BC00AFE2E}"/>
    <hyperlink ref="W106" r:id="rId632" xr:uid="{7D34252F-50D3-4816-9C41-61AF32C62620}"/>
    <hyperlink ref="W107" r:id="rId633" xr:uid="{0D6676F3-1E1F-4E8E-8E8A-A90F2E900753}"/>
    <hyperlink ref="Y104" r:id="rId634" xr:uid="{262C42A8-CD4A-4EA6-9DFF-3039E11C9CC4}"/>
    <hyperlink ref="Y105" r:id="rId635" xr:uid="{398CD839-9757-4F28-A7DB-424BC2395FCA}"/>
    <hyperlink ref="Y106" r:id="rId636" xr:uid="{CEAA92D5-DEB2-48ED-94FF-9929D054E9CA}"/>
    <hyperlink ref="Y107" r:id="rId637" xr:uid="{789CA249-3AED-4C31-963D-5CD7DC6E6963}"/>
    <hyperlink ref="V107:V110" r:id="rId638" display="CET FOA" xr:uid="{631565F4-22F9-42BA-8566-5E96B7BC179A}"/>
    <hyperlink ref="Z95" r:id="rId639" xr:uid="{F18FF110-C88C-481B-9787-1D6ECA63C377}"/>
    <hyperlink ref="Z91:Z94" r:id="rId640" display="Comite de Gestión " xr:uid="{9A0066E5-9BE2-493E-8AB0-C220DB25BA7B}"/>
    <hyperlink ref="Z103" r:id="rId641" xr:uid="{7B7B5C2B-C006-4F41-BE6D-5A35AF4682BE}"/>
    <hyperlink ref="Z104:Z107" r:id="rId642" display="Comite de Gestion" xr:uid="{1EAA046C-AB04-4E37-B2EA-F5D4563272DE}"/>
    <hyperlink ref="U217" r:id="rId643" xr:uid="{2D7F7E5A-9C96-4DEC-8BFD-46EF52302714}"/>
    <hyperlink ref="V217" r:id="rId644" xr:uid="{CC68EECD-ADFA-4CF1-A113-D078F02C797E}"/>
    <hyperlink ref="Z217" r:id="rId645" xr:uid="{0B97BC06-9E2F-4EE8-838B-2DDF325391F2}"/>
    <hyperlink ref="Y217" r:id="rId646" xr:uid="{1C3281DA-D8CD-49FB-992D-00A326BA6E3B}"/>
    <hyperlink ref="W217" r:id="rId647" xr:uid="{88AECC74-5372-4AFE-A7AF-7AF6EDB39F06}"/>
    <hyperlink ref="U131" r:id="rId648" xr:uid="{DC727F5A-D7E3-468E-8C43-EF83154D1043}"/>
    <hyperlink ref="U132" r:id="rId649" xr:uid="{F5E0D407-5A4F-4383-9EA5-F5A4BCE30A6C}"/>
    <hyperlink ref="U133" r:id="rId650" xr:uid="{A89B5A97-4DCF-4BC2-A06E-3F307DC00233}"/>
    <hyperlink ref="V131" r:id="rId651" xr:uid="{BEDE0046-D5B1-4858-A9F9-D29492EBC42E}"/>
    <hyperlink ref="V132" r:id="rId652" xr:uid="{B766A680-B5FC-4678-8485-4C8B26C92257}"/>
    <hyperlink ref="V133" r:id="rId653" xr:uid="{0D43CFEC-BC5F-4182-909E-2AE2559B35C8}"/>
    <hyperlink ref="W131" r:id="rId654" xr:uid="{C92F7162-8016-4A43-957D-C36807A861ED}"/>
    <hyperlink ref="Z131" r:id="rId655" xr:uid="{621DFDB1-1ADD-41FC-A399-815F8FCED68D}"/>
    <hyperlink ref="Z132:Z133" r:id="rId656" display="06. Comité de Gestión" xr:uid="{E4F6E3E4-66D9-4134-BF02-A58326F9445A}"/>
    <hyperlink ref="W132:W133" r:id="rId657" display="06. Comité de Gestión" xr:uid="{FC7ED3F3-1E2E-4CC7-8D4D-EEFBA768287A}"/>
    <hyperlink ref="U66" r:id="rId658" xr:uid="{18846F3D-C565-48B6-B45B-60C8485E607A}"/>
    <hyperlink ref="U87" r:id="rId659" xr:uid="{8B2FA7F6-0E57-47D2-9913-3A8B3EBBF96B}"/>
    <hyperlink ref="Y87" r:id="rId660" xr:uid="{AD8EA30B-AE1E-4C7F-9927-36CE67650F4E}"/>
    <hyperlink ref="V185" r:id="rId661" xr:uid="{339B10EF-5A34-4F48-B7B0-441EDA9880F7}"/>
    <hyperlink ref="V186:V188" r:id="rId662" display="CET - IGM Assessment Migracion.xlsx" xr:uid="{53609960-AB69-4D72-8258-EFA4B22148AF}"/>
    <hyperlink ref="W185" r:id="rId663" xr:uid="{66E921EB-6FC1-46FC-99AE-949FF9075E5E}"/>
    <hyperlink ref="W186:W188" r:id="rId664" display="03 Documentos Contractuales y tecnicos" xr:uid="{15051915-4652-44FC-8D62-3E1A8CE34B07}"/>
    <hyperlink ref="Y185" r:id="rId665" xr:uid="{A8988B8E-29DE-4260-94C8-B2E47C217355}"/>
    <hyperlink ref="Y186:Y188" r:id="rId666" display="04. Kickoff" xr:uid="{18072FBF-5540-4CA7-8193-0A41FB80664B}"/>
    <hyperlink ref="Z185" r:id="rId667" xr:uid="{0E16C287-99A5-4CD8-A5D8-29BCF016767C}"/>
    <hyperlink ref="Z186:Z188" r:id="rId668" display="06. Comité de Gestión" xr:uid="{D162479F-D562-4C33-9104-161EB984FE3B}"/>
    <hyperlink ref="Y131:Y133" r:id="rId669" display="06. Comité de Gestión" xr:uid="{BAD64B22-5AC3-47E9-8529-DBFFA0537FC0}"/>
    <hyperlink ref="Y66" r:id="rId670" xr:uid="{A338A8A4-BC7B-4094-B0D6-BBB8B2C70CC7}"/>
    <hyperlink ref="M104:M107" r:id="rId671" display="Agustin Blanco" xr:uid="{FF2380B9-6F38-4486-B3CC-834E8616EDAA}"/>
    <hyperlink ref="U18" r:id="rId672" xr:uid="{A310429F-D646-4988-8B07-43A0A9B42DE6}"/>
    <hyperlink ref="W18" r:id="rId673" xr:uid="{21AFFA0A-193B-4340-80B6-87A1AFF67CC8}"/>
    <hyperlink ref="U171" r:id="rId674" xr:uid="{855DA9DD-AD01-4DDE-8DEC-B9A42CC21699}"/>
    <hyperlink ref="U172:U173" r:id="rId675" display="Contrato SDH" xr:uid="{0F258189-4E47-4366-8DD4-BCA865F5B9B8}"/>
    <hyperlink ref="V171" r:id="rId676" display="https://wgcp.sharepoint.com/:x:/s/NUVU-Proyectos/IQAjb8s4x35kRZxcaTVUtbUNAZephudcpOtMiG8kM9tesVI?e=12tXbC" xr:uid="{AC0D8C2F-6312-4D89-A59E-5FFB592AE1E1}"/>
    <hyperlink ref="W171" r:id="rId677" display="https://wgcp.sharepoint.com/:b:/s/NUVU-Proyectos/IQC7Roa2N0jGRbglGYzGq2lFAWOaP_3RXa0JngFfQJ8htYk?e=Ep0lSA" xr:uid="{41F9F08E-B215-49D0-BF9D-5D56109D2929}"/>
    <hyperlink ref="V172:V173" r:id="rId678" display="https://wgcp.sharepoint.com/:x:/s/NUVU-Proyectos/IQAjb8s4x35kRZxcaTVUtbUNAZephudcpOtMiG8kM9tesVI?e=12tXbC" xr:uid="{635D784A-4388-412B-9895-5E7B438F09C7}"/>
    <hyperlink ref="W172:W173" r:id="rId679" display="https://wgcp.sharepoint.com/:b:/s/NUVU-Proyectos/IQC7Roa2N0jGRbglGYzGq2lFAWOaP_3RXa0JngFfQJ8htYk?e=Ep0lSA" xr:uid="{7AA502DF-E0F3-436C-AF75-750EB26D03EF}"/>
    <hyperlink ref="Y172:Y173" r:id="rId680" display="https://wgcp.sharepoint.com/:p:/s/NUVU-Proyectos/IQCnpTuosSjATakDxvmEOGz4Ac5gmeWpLfd03L4f_UcmYsE?e=raq6RO" xr:uid="{32C7E2E4-1BD6-4822-9D9C-BAB006B9FA4B}"/>
    <hyperlink ref="U20" r:id="rId681" xr:uid="{957135C6-D49E-4EEE-8B61-3F7FAE41D9ED}"/>
    <hyperlink ref="U21" r:id="rId682" xr:uid="{2B19942A-6C47-4990-BB20-5EB2EA91A973}"/>
    <hyperlink ref="Y20" r:id="rId683" display="https://wgcp.sharepoint.com/:b:/r/sites/NUVU-Proyectos/Shared Documents/J/JPMP - Justicia Penal Militar y Policial/%5BP1947%5D - JPMP Cloud Managed Services/1. Documentos del Proyecto/Acta de Inicio/Kickoff JPMP OC 119973.pdf?csf=1&amp;web=1&amp;e=sZl5Zp" xr:uid="{FA98382A-D998-463A-88D5-F09EE6002E27}"/>
    <hyperlink ref="Y21" r:id="rId684" display="https://wgcp.sharepoint.com/:b:/r/sites/NUVU-Proyectos/Shared Documents/J/JPMP - Justicia Penal Militar y Policial/%5BP1947%5D - JPMP Cloud Managed Services/1. Documentos del Proyecto/Acta de Inicio/Kickoff JPMP OC 119973.pdf?csf=1&amp;web=1&amp;e=sZl5Zp" xr:uid="{922C3F6D-48B7-4991-AB3E-0152FCC3B8AA}"/>
    <hyperlink ref="Y171" r:id="rId685" display="https://wgcp.sharepoint.com/:p:/s/NUVU-Proyectos/IQCnpTuosSjATakDxvmEOGz4Ac5gmeWpLfd03L4f_UcmYsE?e=raq6RO" xr:uid="{E9BE8629-768A-44C5-AE0B-F6B09DA700A4}"/>
  </hyperlinks>
  <pageMargins left="0" right="0" top="0" bottom="0" header="0" footer="0"/>
  <legacyDrawing r:id="rId686"/>
  <tableParts count="1">
    <tablePart r:id="rId687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8649966-2373-4F87-A229-81F4C89807A6}">
          <x14:formula1>
            <xm:f>Parameter!$E$2:$E$11</xm:f>
          </x14:formula1>
          <xm:sqref>Q159:Q160 Q195:R195 Q196:Q199 R2:R7 Q236:Q240 Q270 Q274:Q277 Q171:Q179 Q2:Q156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>
    <outlinePr summaryBelow="0" summaryRight="0"/>
  </sheetPr>
  <dimension ref="A1:C80"/>
  <sheetViews>
    <sheetView workbookViewId="0">
      <pane ySplit="1" topLeftCell="A11" activePane="bottomLeft" state="frozen"/>
      <selection pane="bottomLeft" activeCell="B11" sqref="A11:B11"/>
    </sheetView>
  </sheetViews>
  <sheetFormatPr defaultColWidth="12.42578125" defaultRowHeight="15.75" customHeight="1"/>
  <cols>
    <col min="1" max="1" width="16.140625" style="45" customWidth="1"/>
    <col min="2" max="2" width="44" style="45" customWidth="1"/>
    <col min="3" max="3" width="17.42578125" style="45" customWidth="1"/>
    <col min="4" max="16384" width="12.42578125" style="45"/>
  </cols>
  <sheetData>
    <row r="1" spans="1:3" ht="15.75" customHeight="1">
      <c r="A1" s="44" t="s">
        <v>1022</v>
      </c>
      <c r="B1" s="44" t="s">
        <v>1023</v>
      </c>
      <c r="C1" s="44" t="s">
        <v>1024</v>
      </c>
    </row>
    <row r="2" spans="1:3" ht="15.75" customHeight="1">
      <c r="A2" s="46" t="s">
        <v>1025</v>
      </c>
      <c r="B2" s="46" t="s">
        <v>1026</v>
      </c>
      <c r="C2" s="46" t="s">
        <v>1027</v>
      </c>
    </row>
    <row r="3" spans="1:3" ht="15.75" customHeight="1">
      <c r="A3" s="46" t="s">
        <v>104</v>
      </c>
      <c r="B3" s="46" t="s">
        <v>1028</v>
      </c>
      <c r="C3" s="46" t="s">
        <v>1029</v>
      </c>
    </row>
    <row r="4" spans="1:3" ht="15.75" customHeight="1">
      <c r="A4" s="46" t="s">
        <v>1030</v>
      </c>
      <c r="B4" s="46" t="s">
        <v>1031</v>
      </c>
      <c r="C4" s="46" t="s">
        <v>1032</v>
      </c>
    </row>
    <row r="5" spans="1:3" ht="15.75" customHeight="1">
      <c r="A5" s="46" t="s">
        <v>1033</v>
      </c>
      <c r="B5" s="46" t="s">
        <v>1034</v>
      </c>
      <c r="C5" s="46" t="s">
        <v>1035</v>
      </c>
    </row>
    <row r="6" spans="1:3" ht="15.75" customHeight="1">
      <c r="A6" s="46" t="s">
        <v>1036</v>
      </c>
      <c r="B6" s="46" t="s">
        <v>1037</v>
      </c>
      <c r="C6" s="46" t="s">
        <v>1038</v>
      </c>
    </row>
    <row r="7" spans="1:3" ht="15.75" customHeight="1">
      <c r="A7" s="46" t="s">
        <v>1039</v>
      </c>
      <c r="B7" s="46" t="s">
        <v>1040</v>
      </c>
      <c r="C7" s="46" t="s">
        <v>1041</v>
      </c>
    </row>
    <row r="8" spans="1:3" ht="15.75" customHeight="1">
      <c r="A8" s="46" t="s">
        <v>49</v>
      </c>
      <c r="B8" s="46" t="s">
        <v>1042</v>
      </c>
      <c r="C8" s="46" t="s">
        <v>49</v>
      </c>
    </row>
    <row r="9" spans="1:3" ht="15.75" customHeight="1">
      <c r="A9" s="46" t="s">
        <v>1010</v>
      </c>
      <c r="B9" s="46" t="s">
        <v>1043</v>
      </c>
      <c r="C9" s="46" t="s">
        <v>1044</v>
      </c>
    </row>
    <row r="10" spans="1:3" ht="15.75" customHeight="1">
      <c r="A10" s="46" t="s">
        <v>1045</v>
      </c>
      <c r="B10" s="46" t="s">
        <v>1046</v>
      </c>
      <c r="C10" s="46" t="s">
        <v>1047</v>
      </c>
    </row>
    <row r="11" spans="1:3" ht="15.75" customHeight="1">
      <c r="A11" s="46" t="s">
        <v>1048</v>
      </c>
      <c r="B11" s="46" t="s">
        <v>1049</v>
      </c>
      <c r="C11" s="46" t="s">
        <v>1050</v>
      </c>
    </row>
    <row r="12" spans="1:3" ht="15.75" customHeight="1">
      <c r="A12" s="57" t="s">
        <v>1051</v>
      </c>
      <c r="B12" s="57" t="s">
        <v>1052</v>
      </c>
      <c r="C12" s="57" t="s">
        <v>1053</v>
      </c>
    </row>
    <row r="13" spans="1:3" ht="15.75" customHeight="1">
      <c r="A13" s="46" t="s">
        <v>1054</v>
      </c>
      <c r="B13" s="46" t="s">
        <v>1055</v>
      </c>
      <c r="C13" s="46" t="s">
        <v>1056</v>
      </c>
    </row>
    <row r="14" spans="1:3" ht="15.75" customHeight="1">
      <c r="A14" s="46" t="s">
        <v>131</v>
      </c>
      <c r="B14" s="46" t="s">
        <v>1057</v>
      </c>
      <c r="C14" s="46" t="s">
        <v>1058</v>
      </c>
    </row>
    <row r="15" spans="1:3" ht="15.75" customHeight="1">
      <c r="A15" s="46" t="s">
        <v>1059</v>
      </c>
      <c r="B15" s="46" t="s">
        <v>1060</v>
      </c>
      <c r="C15" s="46" t="s">
        <v>1061</v>
      </c>
    </row>
    <row r="16" spans="1:3" ht="13.15">
      <c r="A16" s="46" t="s">
        <v>247</v>
      </c>
      <c r="B16" s="46" t="s">
        <v>1062</v>
      </c>
      <c r="C16" s="46" t="s">
        <v>1063</v>
      </c>
    </row>
    <row r="17" spans="1:3" ht="13.15">
      <c r="A17" s="46" t="s">
        <v>1064</v>
      </c>
      <c r="B17" s="46" t="s">
        <v>1065</v>
      </c>
      <c r="C17" s="46" t="s">
        <v>1066</v>
      </c>
    </row>
    <row r="18" spans="1:3" ht="13.15">
      <c r="A18" s="46" t="s">
        <v>279</v>
      </c>
      <c r="B18" s="46" t="s">
        <v>1067</v>
      </c>
      <c r="C18" s="46" t="s">
        <v>1067</v>
      </c>
    </row>
    <row r="19" spans="1:3" ht="13.15">
      <c r="A19" s="46" t="s">
        <v>1068</v>
      </c>
      <c r="B19" s="46" t="s">
        <v>1069</v>
      </c>
      <c r="C19" s="46" t="s">
        <v>1070</v>
      </c>
    </row>
    <row r="20" spans="1:3" ht="13.15">
      <c r="A20" s="46" t="s">
        <v>31</v>
      </c>
      <c r="B20" s="46" t="s">
        <v>1071</v>
      </c>
      <c r="C20" s="46" t="s">
        <v>1072</v>
      </c>
    </row>
    <row r="21" spans="1:3" ht="13.15">
      <c r="A21" s="46" t="s">
        <v>1073</v>
      </c>
      <c r="B21" s="46" t="s">
        <v>1074</v>
      </c>
      <c r="C21" s="46" t="s">
        <v>1075</v>
      </c>
    </row>
    <row r="22" spans="1:3" ht="13.15">
      <c r="A22" s="46" t="s">
        <v>419</v>
      </c>
      <c r="B22" s="46" t="s">
        <v>420</v>
      </c>
      <c r="C22" s="46" t="s">
        <v>1076</v>
      </c>
    </row>
    <row r="23" spans="1:3" ht="13.15">
      <c r="A23" s="46" t="s">
        <v>1077</v>
      </c>
      <c r="B23" s="46" t="s">
        <v>1078</v>
      </c>
      <c r="C23" s="46" t="s">
        <v>1079</v>
      </c>
    </row>
    <row r="24" spans="1:3" ht="13.15">
      <c r="A24" s="46" t="s">
        <v>295</v>
      </c>
      <c r="B24" s="46" t="s">
        <v>1080</v>
      </c>
      <c r="C24" s="46" t="s">
        <v>1081</v>
      </c>
    </row>
    <row r="25" spans="1:3" ht="13.15">
      <c r="A25" s="46" t="s">
        <v>312</v>
      </c>
      <c r="B25" s="46" t="s">
        <v>1082</v>
      </c>
      <c r="C25" s="46" t="s">
        <v>1083</v>
      </c>
    </row>
    <row r="26" spans="1:3" ht="13.15">
      <c r="A26" s="46" t="s">
        <v>1084</v>
      </c>
      <c r="B26" s="46" t="s">
        <v>1085</v>
      </c>
      <c r="C26" s="46" t="s">
        <v>1086</v>
      </c>
    </row>
    <row r="27" spans="1:3" ht="13.15">
      <c r="A27" s="46" t="s">
        <v>1087</v>
      </c>
      <c r="B27" s="46" t="s">
        <v>1088</v>
      </c>
      <c r="C27" s="46" t="s">
        <v>1089</v>
      </c>
    </row>
    <row r="28" spans="1:3" ht="13.15">
      <c r="A28" s="46" t="s">
        <v>1090</v>
      </c>
      <c r="B28" s="46" t="s">
        <v>1091</v>
      </c>
      <c r="C28" s="46" t="s">
        <v>1092</v>
      </c>
    </row>
    <row r="29" spans="1:3" ht="13.15">
      <c r="A29" s="46" t="s">
        <v>121</v>
      </c>
      <c r="B29" s="46" t="s">
        <v>1093</v>
      </c>
      <c r="C29" s="46" t="s">
        <v>1094</v>
      </c>
    </row>
    <row r="30" spans="1:3" ht="13.15">
      <c r="A30" s="46" t="s">
        <v>331</v>
      </c>
      <c r="B30" s="46" t="s">
        <v>332</v>
      </c>
      <c r="C30" s="46" t="s">
        <v>1095</v>
      </c>
    </row>
    <row r="31" spans="1:3" ht="13.15">
      <c r="A31" s="46" t="s">
        <v>192</v>
      </c>
      <c r="B31" s="46" t="s">
        <v>786</v>
      </c>
      <c r="C31" s="46" t="s">
        <v>1096</v>
      </c>
    </row>
    <row r="32" spans="1:3" ht="13.15">
      <c r="A32" s="46" t="s">
        <v>1097</v>
      </c>
      <c r="B32" s="46" t="s">
        <v>1098</v>
      </c>
      <c r="C32" s="46" t="s">
        <v>1099</v>
      </c>
    </row>
    <row r="33" spans="1:3" ht="13.15">
      <c r="A33" s="46" t="s">
        <v>1100</v>
      </c>
      <c r="B33" s="46" t="s">
        <v>1101</v>
      </c>
      <c r="C33" s="46" t="s">
        <v>1102</v>
      </c>
    </row>
    <row r="34" spans="1:3" ht="13.15">
      <c r="A34" s="46" t="s">
        <v>388</v>
      </c>
      <c r="B34" s="46" t="s">
        <v>1103</v>
      </c>
      <c r="C34" s="46" t="s">
        <v>1104</v>
      </c>
    </row>
    <row r="35" spans="1:3" ht="13.15">
      <c r="A35" s="46" t="s">
        <v>1105</v>
      </c>
      <c r="B35" s="46" t="s">
        <v>1106</v>
      </c>
      <c r="C35" s="46" t="s">
        <v>1107</v>
      </c>
    </row>
    <row r="36" spans="1:3" ht="13.15">
      <c r="A36" s="46" t="s">
        <v>972</v>
      </c>
      <c r="B36" s="46" t="s">
        <v>1108</v>
      </c>
      <c r="C36" s="46" t="s">
        <v>1109</v>
      </c>
    </row>
    <row r="37" spans="1:3" ht="13.15">
      <c r="A37" s="46" t="s">
        <v>1110</v>
      </c>
      <c r="B37" s="46" t="s">
        <v>1111</v>
      </c>
      <c r="C37" s="46" t="s">
        <v>1112</v>
      </c>
    </row>
    <row r="38" spans="1:3" ht="13.15">
      <c r="A38" s="46" t="s">
        <v>1113</v>
      </c>
      <c r="B38" s="46" t="s">
        <v>1114</v>
      </c>
      <c r="C38" s="46" t="s">
        <v>1115</v>
      </c>
    </row>
    <row r="39" spans="1:3" ht="26.45">
      <c r="A39" s="46" t="s">
        <v>253</v>
      </c>
      <c r="B39" s="49" t="s">
        <v>1116</v>
      </c>
      <c r="C39" s="46" t="s">
        <v>741</v>
      </c>
    </row>
    <row r="40" spans="1:3" ht="13.15">
      <c r="A40" s="57" t="s">
        <v>1117</v>
      </c>
      <c r="B40" s="57" t="s">
        <v>1118</v>
      </c>
      <c r="C40" s="57" t="s">
        <v>1053</v>
      </c>
    </row>
    <row r="41" spans="1:3" ht="13.15">
      <c r="A41" s="46" t="s">
        <v>395</v>
      </c>
      <c r="B41" s="46" t="s">
        <v>1119</v>
      </c>
      <c r="C41" s="46" t="s">
        <v>1120</v>
      </c>
    </row>
    <row r="42" spans="1:3" ht="13.15">
      <c r="A42" s="46" t="s">
        <v>1121</v>
      </c>
      <c r="B42" s="46" t="s">
        <v>1122</v>
      </c>
      <c r="C42" s="46" t="s">
        <v>1123</v>
      </c>
    </row>
    <row r="43" spans="1:3" ht="13.15">
      <c r="A43" s="46" t="s">
        <v>1124</v>
      </c>
      <c r="B43" s="46" t="s">
        <v>1125</v>
      </c>
      <c r="C43" s="46" t="s">
        <v>1126</v>
      </c>
    </row>
    <row r="44" spans="1:3" ht="13.15">
      <c r="A44" s="46" t="s">
        <v>1127</v>
      </c>
      <c r="B44" s="46" t="s">
        <v>1128</v>
      </c>
      <c r="C44" s="46" t="s">
        <v>1129</v>
      </c>
    </row>
    <row r="45" spans="1:3" ht="13.15">
      <c r="A45" s="46" t="s">
        <v>1130</v>
      </c>
      <c r="B45" s="46" t="s">
        <v>1131</v>
      </c>
      <c r="C45" s="46" t="s">
        <v>1132</v>
      </c>
    </row>
    <row r="46" spans="1:3" ht="13.15">
      <c r="A46" s="46" t="s">
        <v>142</v>
      </c>
      <c r="B46" s="46" t="s">
        <v>1133</v>
      </c>
      <c r="C46" s="46" t="s">
        <v>1134</v>
      </c>
    </row>
    <row r="47" spans="1:3" ht="13.15">
      <c r="A47" s="46" t="s">
        <v>1135</v>
      </c>
      <c r="B47" s="46" t="s">
        <v>1136</v>
      </c>
      <c r="C47" s="46" t="s">
        <v>1137</v>
      </c>
    </row>
    <row r="48" spans="1:3" ht="13.15">
      <c r="A48" s="46" t="s">
        <v>69</v>
      </c>
      <c r="B48" s="46" t="s">
        <v>1138</v>
      </c>
      <c r="C48" s="46" t="s">
        <v>1139</v>
      </c>
    </row>
    <row r="49" spans="1:3" ht="13.15">
      <c r="A49" s="46" t="s">
        <v>92</v>
      </c>
      <c r="B49" s="46" t="s">
        <v>1140</v>
      </c>
      <c r="C49" s="46" t="s">
        <v>92</v>
      </c>
    </row>
    <row r="50" spans="1:3" ht="13.15">
      <c r="A50" s="46" t="s">
        <v>1141</v>
      </c>
      <c r="B50" s="46" t="s">
        <v>1142</v>
      </c>
      <c r="C50" s="46" t="s">
        <v>1141</v>
      </c>
    </row>
    <row r="51" spans="1:3" ht="13.15">
      <c r="A51" s="46" t="s">
        <v>177</v>
      </c>
      <c r="B51" s="46" t="s">
        <v>178</v>
      </c>
      <c r="C51" s="46" t="s">
        <v>177</v>
      </c>
    </row>
    <row r="52" spans="1:3" ht="13.15">
      <c r="A52" s="46" t="s">
        <v>1143</v>
      </c>
      <c r="B52" s="46" t="s">
        <v>1144</v>
      </c>
      <c r="C52" s="46" t="s">
        <v>1143</v>
      </c>
    </row>
    <row r="53" spans="1:3" ht="13.15">
      <c r="A53" s="46" t="s">
        <v>198</v>
      </c>
      <c r="B53" s="46" t="s">
        <v>811</v>
      </c>
      <c r="C53" s="46" t="s">
        <v>811</v>
      </c>
    </row>
    <row r="54" spans="1:3" ht="13.15">
      <c r="A54" s="46" t="s">
        <v>1145</v>
      </c>
      <c r="B54" s="46" t="s">
        <v>1146</v>
      </c>
      <c r="C54" s="46" t="s">
        <v>1145</v>
      </c>
    </row>
    <row r="55" spans="1:3" ht="13.15">
      <c r="A55" s="46" t="s">
        <v>1005</v>
      </c>
      <c r="B55" s="46" t="s">
        <v>1006</v>
      </c>
      <c r="C55" s="46" t="s">
        <v>1005</v>
      </c>
    </row>
    <row r="56" spans="1:3" ht="13.15">
      <c r="A56" s="46" t="s">
        <v>168</v>
      </c>
      <c r="B56" s="46" t="s">
        <v>1147</v>
      </c>
      <c r="C56" s="46" t="s">
        <v>168</v>
      </c>
    </row>
    <row r="57" spans="1:3" ht="13.15">
      <c r="A57" s="46" t="s">
        <v>1148</v>
      </c>
      <c r="B57" s="46" t="s">
        <v>1149</v>
      </c>
      <c r="C57" s="46" t="s">
        <v>1150</v>
      </c>
    </row>
    <row r="58" spans="1:3" ht="13.15">
      <c r="A58" s="46" t="s">
        <v>1151</v>
      </c>
      <c r="B58" s="46" t="s">
        <v>1152</v>
      </c>
      <c r="C58" s="46" t="s">
        <v>1151</v>
      </c>
    </row>
    <row r="59" spans="1:3" ht="13.15">
      <c r="A59" s="46" t="s">
        <v>238</v>
      </c>
      <c r="B59" s="46" t="s">
        <v>239</v>
      </c>
      <c r="C59" s="46" t="s">
        <v>1153</v>
      </c>
    </row>
    <row r="60" spans="1:3" ht="13.15">
      <c r="A60" s="46" t="s">
        <v>977</v>
      </c>
      <c r="B60" s="46" t="s">
        <v>1154</v>
      </c>
      <c r="C60" s="46" t="s">
        <v>977</v>
      </c>
    </row>
    <row r="61" spans="1:3" ht="13.15">
      <c r="A61" s="46" t="s">
        <v>184</v>
      </c>
      <c r="B61" s="46" t="s">
        <v>185</v>
      </c>
      <c r="C61" s="46" t="s">
        <v>184</v>
      </c>
    </row>
    <row r="62" spans="1:3" ht="13.15">
      <c r="A62" s="46" t="s">
        <v>231</v>
      </c>
      <c r="B62" s="46" t="s">
        <v>1155</v>
      </c>
      <c r="C62" s="46" t="s">
        <v>231</v>
      </c>
    </row>
    <row r="63" spans="1:3" ht="13.15">
      <c r="A63" s="46" t="s">
        <v>986</v>
      </c>
      <c r="B63" s="46" t="s">
        <v>1156</v>
      </c>
      <c r="C63" s="46" t="s">
        <v>987</v>
      </c>
    </row>
    <row r="64" spans="1:3" ht="13.15">
      <c r="A64" s="46" t="s">
        <v>221</v>
      </c>
      <c r="B64" s="46" t="s">
        <v>1157</v>
      </c>
      <c r="C64" s="46" t="s">
        <v>1158</v>
      </c>
    </row>
    <row r="65" spans="1:3" ht="13.15">
      <c r="A65" s="46" t="s">
        <v>303</v>
      </c>
      <c r="B65" s="46" t="s">
        <v>304</v>
      </c>
      <c r="C65" s="46" t="s">
        <v>1159</v>
      </c>
    </row>
    <row r="66" spans="1:3" ht="13.15">
      <c r="A66" s="46" t="s">
        <v>153</v>
      </c>
      <c r="B66" s="46" t="s">
        <v>154</v>
      </c>
      <c r="C66" s="46" t="s">
        <v>153</v>
      </c>
    </row>
    <row r="67" spans="1:3" ht="13.15">
      <c r="A67" s="46" t="s">
        <v>340</v>
      </c>
      <c r="B67" s="46" t="s">
        <v>1160</v>
      </c>
      <c r="C67" s="46" t="s">
        <v>341</v>
      </c>
    </row>
    <row r="68" spans="1:3" ht="27.75" customHeight="1">
      <c r="A68" s="46" t="s">
        <v>606</v>
      </c>
      <c r="B68" s="49" t="s">
        <v>1161</v>
      </c>
      <c r="C68" s="46" t="s">
        <v>1162</v>
      </c>
    </row>
    <row r="69" spans="1:3" ht="13.15">
      <c r="A69" s="46" t="s">
        <v>995</v>
      </c>
      <c r="B69" s="46" t="s">
        <v>1163</v>
      </c>
      <c r="C69" s="46" t="s">
        <v>1164</v>
      </c>
    </row>
    <row r="70" spans="1:3" ht="13.15">
      <c r="A70" s="46" t="s">
        <v>1165</v>
      </c>
      <c r="B70" s="46" t="s">
        <v>591</v>
      </c>
      <c r="C70" s="46" t="s">
        <v>591</v>
      </c>
    </row>
    <row r="71" spans="1:3" ht="13.15">
      <c r="A71" s="46" t="s">
        <v>1166</v>
      </c>
      <c r="B71" s="46" t="s">
        <v>1167</v>
      </c>
      <c r="C71" s="46" t="s">
        <v>1168</v>
      </c>
    </row>
    <row r="72" spans="1:3" ht="15.75" customHeight="1">
      <c r="A72" s="45" t="s">
        <v>662</v>
      </c>
      <c r="B72" s="45" t="s">
        <v>663</v>
      </c>
      <c r="C72" s="45" t="s">
        <v>1169</v>
      </c>
    </row>
    <row r="73" spans="1:3" ht="15.75" customHeight="1">
      <c r="A73" s="45" t="s">
        <v>1170</v>
      </c>
      <c r="B73" s="45" t="s">
        <v>1171</v>
      </c>
      <c r="C73" s="45" t="s">
        <v>1172</v>
      </c>
    </row>
    <row r="74" spans="1:3" ht="15.75" customHeight="1">
      <c r="A74" s="45" t="s">
        <v>1173</v>
      </c>
      <c r="B74" s="45" t="s">
        <v>1174</v>
      </c>
      <c r="C74" s="45" t="s">
        <v>1175</v>
      </c>
    </row>
    <row r="75" spans="1:3" ht="15.75" customHeight="1">
      <c r="A75" s="45" t="s">
        <v>678</v>
      </c>
      <c r="B75" s="45" t="s">
        <v>679</v>
      </c>
      <c r="C75" s="45" t="s">
        <v>1176</v>
      </c>
    </row>
    <row r="76" spans="1:3" ht="25.5" customHeight="1">
      <c r="A76" s="45" t="s">
        <v>355</v>
      </c>
      <c r="B76" s="47" t="s">
        <v>1177</v>
      </c>
      <c r="C76" s="45" t="s">
        <v>356</v>
      </c>
    </row>
    <row r="77" spans="1:3" ht="15.75" customHeight="1">
      <c r="A77" s="45" t="s">
        <v>1178</v>
      </c>
      <c r="B77" s="45" t="s">
        <v>1179</v>
      </c>
      <c r="C77" s="45" t="s">
        <v>1180</v>
      </c>
    </row>
    <row r="78" spans="1:3" ht="15.75" customHeight="1">
      <c r="A78" s="45" t="s">
        <v>624</v>
      </c>
      <c r="B78" s="45" t="s">
        <v>1181</v>
      </c>
      <c r="C78" s="45" t="s">
        <v>625</v>
      </c>
    </row>
    <row r="79" spans="1:3" ht="15.75" customHeight="1">
      <c r="A79" s="4" t="s">
        <v>868</v>
      </c>
      <c r="B79" s="12" t="s">
        <v>869</v>
      </c>
      <c r="C79" s="45" t="s">
        <v>1182</v>
      </c>
    </row>
    <row r="80" spans="1:3" ht="15.75" customHeight="1">
      <c r="A80" s="45" t="s">
        <v>774</v>
      </c>
      <c r="B80" s="45" t="s">
        <v>775</v>
      </c>
      <c r="C80" s="45" t="s">
        <v>1183</v>
      </c>
    </row>
  </sheetData>
  <autoFilter ref="A1:C77" xr:uid="{00000000-0001-0000-0300-000000000000}"/>
  <conditionalFormatting sqref="A1:A1048576">
    <cfRule type="duplicateValues" dxfId="159" priority="1"/>
  </conditionalFormatting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1305D-5F14-4EDE-AF2D-C2EA5352C0B0}">
  <sheetPr codeName="Sheet3"/>
  <dimension ref="A1:D223"/>
  <sheetViews>
    <sheetView topLeftCell="C1" workbookViewId="0">
      <selection activeCell="E46" sqref="E46"/>
    </sheetView>
  </sheetViews>
  <sheetFormatPr defaultColWidth="9.140625" defaultRowHeight="11.45"/>
  <cols>
    <col min="1" max="1" width="16.7109375" style="29" customWidth="1"/>
    <col min="2" max="2" width="19.42578125" style="29" customWidth="1"/>
    <col min="3" max="3" width="9.140625" style="29"/>
    <col min="4" max="4" width="27.28515625" style="29" customWidth="1"/>
    <col min="5" max="16384" width="9.140625" style="29"/>
  </cols>
  <sheetData>
    <row r="1" spans="1:4">
      <c r="A1" s="30" t="s">
        <v>1184</v>
      </c>
      <c r="B1" s="30" t="s">
        <v>1185</v>
      </c>
      <c r="C1" s="31" t="s">
        <v>1186</v>
      </c>
      <c r="D1" s="30" t="s">
        <v>1023</v>
      </c>
    </row>
    <row r="2" spans="1:4">
      <c r="A2" s="32" t="s">
        <v>1187</v>
      </c>
      <c r="B2" s="32" t="s">
        <v>1188</v>
      </c>
      <c r="C2" s="33" t="s">
        <v>71</v>
      </c>
      <c r="D2" s="34" t="s">
        <v>1189</v>
      </c>
    </row>
    <row r="3" spans="1:4">
      <c r="A3" s="32" t="s">
        <v>1190</v>
      </c>
      <c r="B3" s="32" t="s">
        <v>121</v>
      </c>
      <c r="C3" s="33" t="s">
        <v>71</v>
      </c>
      <c r="D3" s="34" t="s">
        <v>1093</v>
      </c>
    </row>
    <row r="4" spans="1:4">
      <c r="A4" s="32" t="s">
        <v>1191</v>
      </c>
      <c r="B4" s="32" t="s">
        <v>295</v>
      </c>
      <c r="C4" s="33" t="s">
        <v>71</v>
      </c>
      <c r="D4" s="34" t="s">
        <v>1080</v>
      </c>
    </row>
    <row r="5" spans="1:4">
      <c r="A5" s="32" t="s">
        <v>1192</v>
      </c>
      <c r="B5" s="32" t="s">
        <v>295</v>
      </c>
      <c r="C5" s="33" t="s">
        <v>71</v>
      </c>
      <c r="D5" s="34" t="s">
        <v>1080</v>
      </c>
    </row>
    <row r="6" spans="1:4">
      <c r="A6" s="32" t="s">
        <v>1193</v>
      </c>
      <c r="B6" s="32" t="s">
        <v>331</v>
      </c>
      <c r="C6" s="33" t="s">
        <v>71</v>
      </c>
      <c r="D6" s="34" t="s">
        <v>332</v>
      </c>
    </row>
    <row r="7" spans="1:4">
      <c r="A7" s="32" t="s">
        <v>1194</v>
      </c>
      <c r="B7" s="32" t="s">
        <v>331</v>
      </c>
      <c r="C7" s="33" t="s">
        <v>71</v>
      </c>
      <c r="D7" s="34" t="s">
        <v>332</v>
      </c>
    </row>
    <row r="8" spans="1:4">
      <c r="A8" s="32" t="s">
        <v>1195</v>
      </c>
      <c r="B8" s="32" t="s">
        <v>331</v>
      </c>
      <c r="C8" s="33" t="s">
        <v>71</v>
      </c>
      <c r="D8" s="34" t="s">
        <v>332</v>
      </c>
    </row>
    <row r="9" spans="1:4">
      <c r="A9" s="32" t="s">
        <v>1196</v>
      </c>
      <c r="B9" s="32" t="s">
        <v>192</v>
      </c>
      <c r="C9" s="33" t="s">
        <v>71</v>
      </c>
      <c r="D9" s="34" t="s">
        <v>786</v>
      </c>
    </row>
    <row r="10" spans="1:4">
      <c r="A10" s="32" t="s">
        <v>1197</v>
      </c>
      <c r="B10" s="32" t="s">
        <v>192</v>
      </c>
      <c r="C10" s="33" t="s">
        <v>71</v>
      </c>
      <c r="D10" s="34" t="s">
        <v>786</v>
      </c>
    </row>
    <row r="11" spans="1:4">
      <c r="A11" s="32" t="s">
        <v>1198</v>
      </c>
      <c r="B11" s="32" t="s">
        <v>192</v>
      </c>
      <c r="C11" s="33" t="s">
        <v>71</v>
      </c>
      <c r="D11" s="34" t="s">
        <v>786</v>
      </c>
    </row>
    <row r="12" spans="1:4">
      <c r="A12" s="32" t="s">
        <v>1199</v>
      </c>
      <c r="B12" s="32" t="s">
        <v>331</v>
      </c>
      <c r="C12" s="33" t="s">
        <v>71</v>
      </c>
      <c r="D12" s="34" t="s">
        <v>332</v>
      </c>
    </row>
    <row r="13" spans="1:4">
      <c r="A13" s="32" t="s">
        <v>1200</v>
      </c>
      <c r="B13" s="32" t="s">
        <v>192</v>
      </c>
      <c r="C13" s="33" t="s">
        <v>71</v>
      </c>
      <c r="D13" s="34" t="s">
        <v>786</v>
      </c>
    </row>
    <row r="14" spans="1:4">
      <c r="A14" s="32" t="s">
        <v>1201</v>
      </c>
      <c r="B14" s="32" t="s">
        <v>192</v>
      </c>
      <c r="C14" s="33" t="s">
        <v>71</v>
      </c>
      <c r="D14" s="34" t="s">
        <v>786</v>
      </c>
    </row>
    <row r="15" spans="1:4">
      <c r="A15" s="32" t="s">
        <v>1202</v>
      </c>
      <c r="B15" s="32" t="s">
        <v>192</v>
      </c>
      <c r="C15" s="33" t="s">
        <v>71</v>
      </c>
      <c r="D15" s="34" t="s">
        <v>786</v>
      </c>
    </row>
    <row r="16" spans="1:4">
      <c r="A16" s="32" t="s">
        <v>1203</v>
      </c>
      <c r="B16" s="32" t="s">
        <v>1151</v>
      </c>
      <c r="C16" s="33" t="s">
        <v>71</v>
      </c>
      <c r="D16" s="34" t="s">
        <v>1152</v>
      </c>
    </row>
    <row r="17" spans="1:4">
      <c r="A17" s="32" t="s">
        <v>1204</v>
      </c>
      <c r="B17" s="32" t="s">
        <v>1148</v>
      </c>
      <c r="C17" s="33" t="s">
        <v>71</v>
      </c>
      <c r="D17" s="34" t="s">
        <v>1149</v>
      </c>
    </row>
    <row r="18" spans="1:4">
      <c r="A18" s="32" t="s">
        <v>1205</v>
      </c>
      <c r="B18" s="32" t="s">
        <v>1010</v>
      </c>
      <c r="C18" s="33" t="s">
        <v>71</v>
      </c>
      <c r="D18" s="34" t="s">
        <v>1043</v>
      </c>
    </row>
    <row r="19" spans="1:4">
      <c r="A19" s="32" t="s">
        <v>1206</v>
      </c>
      <c r="B19" s="32" t="s">
        <v>1010</v>
      </c>
      <c r="C19" s="33" t="s">
        <v>71</v>
      </c>
      <c r="D19" s="34" t="s">
        <v>1043</v>
      </c>
    </row>
    <row r="20" spans="1:4">
      <c r="A20" s="32" t="s">
        <v>1207</v>
      </c>
      <c r="B20" s="32" t="s">
        <v>1188</v>
      </c>
      <c r="C20" s="33" t="s">
        <v>71</v>
      </c>
      <c r="D20" s="34" t="s">
        <v>1189</v>
      </c>
    </row>
    <row r="21" spans="1:4">
      <c r="A21" s="32" t="s">
        <v>1208</v>
      </c>
      <c r="B21" s="32" t="s">
        <v>104</v>
      </c>
      <c r="C21" s="33" t="s">
        <v>71</v>
      </c>
      <c r="D21" s="34" t="s">
        <v>1028</v>
      </c>
    </row>
    <row r="22" spans="1:4">
      <c r="A22" s="32" t="s">
        <v>1209</v>
      </c>
      <c r="B22" s="32" t="s">
        <v>104</v>
      </c>
      <c r="C22" s="33" t="s">
        <v>71</v>
      </c>
      <c r="D22" s="34" t="s">
        <v>1028</v>
      </c>
    </row>
    <row r="23" spans="1:4">
      <c r="A23" s="32" t="s">
        <v>1210</v>
      </c>
      <c r="B23" s="32" t="s">
        <v>104</v>
      </c>
      <c r="C23" s="33" t="s">
        <v>71</v>
      </c>
      <c r="D23" s="34" t="s">
        <v>1028</v>
      </c>
    </row>
    <row r="24" spans="1:4">
      <c r="A24" s="32" t="s">
        <v>1211</v>
      </c>
      <c r="B24" s="32" t="s">
        <v>1010</v>
      </c>
      <c r="C24" s="33" t="s">
        <v>71</v>
      </c>
      <c r="D24" s="34" t="s">
        <v>1043</v>
      </c>
    </row>
    <row r="25" spans="1:4">
      <c r="A25" s="32" t="s">
        <v>1212</v>
      </c>
      <c r="B25" s="32" t="s">
        <v>1045</v>
      </c>
      <c r="C25" s="33" t="s">
        <v>71</v>
      </c>
      <c r="D25" s="34" t="s">
        <v>1046</v>
      </c>
    </row>
    <row r="26" spans="1:4">
      <c r="A26" s="32" t="s">
        <v>1213</v>
      </c>
      <c r="B26" s="32" t="s">
        <v>295</v>
      </c>
      <c r="C26" s="33" t="s">
        <v>71</v>
      </c>
      <c r="D26" s="34" t="s">
        <v>1080</v>
      </c>
    </row>
    <row r="27" spans="1:4">
      <c r="A27" s="32" t="s">
        <v>1214</v>
      </c>
      <c r="B27" s="32" t="s">
        <v>1084</v>
      </c>
      <c r="C27" s="33" t="s">
        <v>71</v>
      </c>
      <c r="D27" s="34" t="s">
        <v>1085</v>
      </c>
    </row>
    <row r="28" spans="1:4">
      <c r="A28" s="32" t="s">
        <v>1215</v>
      </c>
      <c r="B28" s="32" t="s">
        <v>1084</v>
      </c>
      <c r="C28" s="33" t="s">
        <v>71</v>
      </c>
      <c r="D28" s="34" t="s">
        <v>1085</v>
      </c>
    </row>
    <row r="29" spans="1:4">
      <c r="A29" s="32" t="s">
        <v>1216</v>
      </c>
      <c r="B29" s="32" t="s">
        <v>1030</v>
      </c>
      <c r="C29" s="33" t="s">
        <v>71</v>
      </c>
      <c r="D29" s="34" t="s">
        <v>1031</v>
      </c>
    </row>
    <row r="30" spans="1:4">
      <c r="A30" s="32" t="s">
        <v>1217</v>
      </c>
      <c r="B30" s="32" t="s">
        <v>1030</v>
      </c>
      <c r="C30" s="33" t="s">
        <v>71</v>
      </c>
      <c r="D30" s="34" t="s">
        <v>1031</v>
      </c>
    </row>
    <row r="31" spans="1:4">
      <c r="A31" s="32" t="s">
        <v>1218</v>
      </c>
      <c r="B31" s="32" t="s">
        <v>1030</v>
      </c>
      <c r="C31" s="33" t="s">
        <v>71</v>
      </c>
      <c r="D31" s="34" t="s">
        <v>1031</v>
      </c>
    </row>
    <row r="32" spans="1:4">
      <c r="A32" s="32" t="s">
        <v>1219</v>
      </c>
      <c r="B32" s="32" t="s">
        <v>1030</v>
      </c>
      <c r="C32" s="33" t="s">
        <v>71</v>
      </c>
      <c r="D32" s="34" t="s">
        <v>1031</v>
      </c>
    </row>
    <row r="33" spans="1:4">
      <c r="A33" s="32" t="s">
        <v>1220</v>
      </c>
      <c r="B33" s="32" t="s">
        <v>1051</v>
      </c>
      <c r="C33" s="33" t="s">
        <v>71</v>
      </c>
      <c r="D33" s="34" t="s">
        <v>1052</v>
      </c>
    </row>
    <row r="34" spans="1:4">
      <c r="A34" s="32" t="s">
        <v>1221</v>
      </c>
      <c r="B34" s="32" t="s">
        <v>1051</v>
      </c>
      <c r="C34" s="33" t="s">
        <v>71</v>
      </c>
      <c r="D34" s="34" t="s">
        <v>1052</v>
      </c>
    </row>
    <row r="35" spans="1:4">
      <c r="A35" s="32" t="s">
        <v>1222</v>
      </c>
      <c r="B35" s="32" t="s">
        <v>1025</v>
      </c>
      <c r="C35" s="33" t="s">
        <v>71</v>
      </c>
      <c r="D35" s="34" t="s">
        <v>1026</v>
      </c>
    </row>
    <row r="36" spans="1:4">
      <c r="A36" s="32" t="s">
        <v>1223</v>
      </c>
      <c r="B36" s="32" t="s">
        <v>1025</v>
      </c>
      <c r="C36" s="33" t="s">
        <v>71</v>
      </c>
      <c r="D36" s="34" t="s">
        <v>1026</v>
      </c>
    </row>
    <row r="37" spans="1:4">
      <c r="A37" s="32" t="s">
        <v>1224</v>
      </c>
      <c r="B37" s="32" t="s">
        <v>395</v>
      </c>
      <c r="C37" s="33" t="s">
        <v>71</v>
      </c>
      <c r="D37" s="34" t="s">
        <v>395</v>
      </c>
    </row>
    <row r="38" spans="1:4">
      <c r="A38" s="32" t="s">
        <v>1225</v>
      </c>
      <c r="B38" s="32" t="s">
        <v>395</v>
      </c>
      <c r="C38" s="33" t="s">
        <v>71</v>
      </c>
      <c r="D38" s="34" t="s">
        <v>395</v>
      </c>
    </row>
    <row r="39" spans="1:4">
      <c r="A39" s="32" t="s">
        <v>1226</v>
      </c>
      <c r="B39" s="32" t="s">
        <v>1097</v>
      </c>
      <c r="C39" s="33" t="s">
        <v>71</v>
      </c>
      <c r="D39" s="34" t="s">
        <v>1098</v>
      </c>
    </row>
    <row r="40" spans="1:4">
      <c r="A40" s="32" t="s">
        <v>1227</v>
      </c>
      <c r="B40" s="32" t="s">
        <v>1097</v>
      </c>
      <c r="C40" s="33" t="s">
        <v>71</v>
      </c>
      <c r="D40" s="34" t="s">
        <v>1098</v>
      </c>
    </row>
    <row r="41" spans="1:4">
      <c r="A41" s="32" t="s">
        <v>1228</v>
      </c>
      <c r="B41" s="32" t="s">
        <v>1097</v>
      </c>
      <c r="C41" s="33" t="s">
        <v>71</v>
      </c>
      <c r="D41" s="34" t="s">
        <v>1098</v>
      </c>
    </row>
    <row r="42" spans="1:4">
      <c r="A42" s="32" t="s">
        <v>1229</v>
      </c>
      <c r="B42" s="32" t="s">
        <v>1097</v>
      </c>
      <c r="C42" s="33" t="s">
        <v>71</v>
      </c>
      <c r="D42" s="34" t="s">
        <v>1098</v>
      </c>
    </row>
    <row r="43" spans="1:4">
      <c r="A43" s="32" t="s">
        <v>1230</v>
      </c>
      <c r="B43" s="32" t="s">
        <v>1097</v>
      </c>
      <c r="C43" s="33" t="s">
        <v>71</v>
      </c>
      <c r="D43" s="34" t="s">
        <v>1098</v>
      </c>
    </row>
    <row r="44" spans="1:4">
      <c r="A44" s="32" t="s">
        <v>1231</v>
      </c>
      <c r="B44" s="32" t="s">
        <v>104</v>
      </c>
      <c r="C44" s="33" t="s">
        <v>71</v>
      </c>
      <c r="D44" s="34" t="s">
        <v>1028</v>
      </c>
    </row>
    <row r="45" spans="1:4">
      <c r="A45" s="32" t="s">
        <v>1232</v>
      </c>
      <c r="B45" s="32" t="s">
        <v>1054</v>
      </c>
      <c r="C45" s="33" t="s">
        <v>71</v>
      </c>
      <c r="D45" s="34" t="s">
        <v>1055</v>
      </c>
    </row>
    <row r="46" spans="1:4">
      <c r="A46" s="32" t="s">
        <v>1233</v>
      </c>
      <c r="B46" s="32" t="s">
        <v>1054</v>
      </c>
      <c r="C46" s="33" t="s">
        <v>71</v>
      </c>
      <c r="D46" s="34" t="s">
        <v>1055</v>
      </c>
    </row>
    <row r="47" spans="1:4">
      <c r="A47" s="32" t="s">
        <v>1234</v>
      </c>
      <c r="B47" s="32" t="s">
        <v>1054</v>
      </c>
      <c r="C47" s="33" t="s">
        <v>71</v>
      </c>
      <c r="D47" s="34" t="s">
        <v>1055</v>
      </c>
    </row>
    <row r="48" spans="1:4">
      <c r="A48" s="32" t="s">
        <v>1235</v>
      </c>
      <c r="B48" s="32" t="s">
        <v>1059</v>
      </c>
      <c r="C48" s="33" t="s">
        <v>71</v>
      </c>
      <c r="D48" s="34" t="s">
        <v>1060</v>
      </c>
    </row>
    <row r="49" spans="1:4">
      <c r="A49" s="32" t="s">
        <v>1236</v>
      </c>
      <c r="B49" s="32" t="s">
        <v>1059</v>
      </c>
      <c r="C49" s="33" t="s">
        <v>71</v>
      </c>
      <c r="D49" s="34" t="s">
        <v>1060</v>
      </c>
    </row>
    <row r="50" spans="1:4">
      <c r="A50" s="32" t="s">
        <v>1237</v>
      </c>
      <c r="B50" s="32" t="s">
        <v>1036</v>
      </c>
      <c r="C50" s="33" t="s">
        <v>71</v>
      </c>
      <c r="D50" s="34" t="s">
        <v>1037</v>
      </c>
    </row>
    <row r="51" spans="1:4">
      <c r="A51" s="32" t="s">
        <v>1238</v>
      </c>
      <c r="B51" s="32" t="s">
        <v>1039</v>
      </c>
      <c r="C51" s="33" t="s">
        <v>71</v>
      </c>
      <c r="D51" s="34" t="s">
        <v>1040</v>
      </c>
    </row>
    <row r="52" spans="1:4">
      <c r="A52" s="32" t="s">
        <v>1239</v>
      </c>
      <c r="B52" s="32" t="s">
        <v>1039</v>
      </c>
      <c r="C52" s="33" t="s">
        <v>71</v>
      </c>
      <c r="D52" s="34" t="s">
        <v>1040</v>
      </c>
    </row>
    <row r="53" spans="1:4">
      <c r="A53" s="32" t="s">
        <v>1240</v>
      </c>
      <c r="B53" s="32" t="s">
        <v>1045</v>
      </c>
      <c r="C53" s="33" t="s">
        <v>71</v>
      </c>
      <c r="D53" s="34" t="s">
        <v>1046</v>
      </c>
    </row>
    <row r="54" spans="1:4">
      <c r="A54" s="32" t="s">
        <v>1241</v>
      </c>
      <c r="B54" s="32" t="s">
        <v>1068</v>
      </c>
      <c r="C54" s="33" t="s">
        <v>71</v>
      </c>
      <c r="D54" s="34" t="s">
        <v>1069</v>
      </c>
    </row>
    <row r="55" spans="1:4">
      <c r="A55" s="32" t="s">
        <v>1242</v>
      </c>
      <c r="B55" s="32" t="s">
        <v>1068</v>
      </c>
      <c r="C55" s="33" t="s">
        <v>71</v>
      </c>
      <c r="D55" s="34" t="s">
        <v>1069</v>
      </c>
    </row>
    <row r="56" spans="1:4">
      <c r="A56" s="32" t="s">
        <v>1243</v>
      </c>
      <c r="B56" s="32" t="s">
        <v>279</v>
      </c>
      <c r="C56" s="33" t="s">
        <v>71</v>
      </c>
      <c r="D56" s="34" t="s">
        <v>1067</v>
      </c>
    </row>
    <row r="57" spans="1:4">
      <c r="A57" s="32" t="s">
        <v>1244</v>
      </c>
      <c r="B57" s="32" t="s">
        <v>279</v>
      </c>
      <c r="C57" s="33" t="s">
        <v>71</v>
      </c>
      <c r="D57" s="34" t="s">
        <v>1067</v>
      </c>
    </row>
    <row r="58" spans="1:4">
      <c r="A58" s="32" t="s">
        <v>1245</v>
      </c>
      <c r="B58" s="32" t="s">
        <v>1100</v>
      </c>
      <c r="C58" s="33" t="s">
        <v>71</v>
      </c>
      <c r="D58" s="34" t="s">
        <v>1101</v>
      </c>
    </row>
    <row r="59" spans="1:4">
      <c r="A59" s="32" t="s">
        <v>1246</v>
      </c>
      <c r="B59" s="32" t="s">
        <v>1100</v>
      </c>
      <c r="C59" s="33" t="s">
        <v>71</v>
      </c>
      <c r="D59" s="34" t="s">
        <v>1101</v>
      </c>
    </row>
    <row r="60" spans="1:4">
      <c r="A60" s="32" t="s">
        <v>1247</v>
      </c>
      <c r="B60" s="32" t="s">
        <v>49</v>
      </c>
      <c r="C60" s="33" t="s">
        <v>71</v>
      </c>
      <c r="D60" s="34" t="s">
        <v>49</v>
      </c>
    </row>
    <row r="61" spans="1:4">
      <c r="A61" s="32" t="s">
        <v>1248</v>
      </c>
      <c r="B61" s="32" t="s">
        <v>49</v>
      </c>
      <c r="C61" s="33" t="s">
        <v>71</v>
      </c>
      <c r="D61" s="34" t="s">
        <v>49</v>
      </c>
    </row>
    <row r="62" spans="1:4">
      <c r="A62" s="32" t="s">
        <v>1249</v>
      </c>
      <c r="B62" s="32" t="s">
        <v>1048</v>
      </c>
      <c r="C62" s="33" t="s">
        <v>71</v>
      </c>
      <c r="D62" s="34" t="s">
        <v>1049</v>
      </c>
    </row>
    <row r="63" spans="1:4">
      <c r="A63" s="32" t="s">
        <v>1250</v>
      </c>
      <c r="B63" s="32" t="s">
        <v>1048</v>
      </c>
      <c r="C63" s="33" t="s">
        <v>71</v>
      </c>
      <c r="D63" s="34" t="s">
        <v>1049</v>
      </c>
    </row>
    <row r="64" spans="1:4">
      <c r="A64" s="32" t="s">
        <v>1251</v>
      </c>
      <c r="B64" s="32" t="s">
        <v>247</v>
      </c>
      <c r="C64" s="33" t="s">
        <v>71</v>
      </c>
      <c r="D64" s="34" t="s">
        <v>1062</v>
      </c>
    </row>
    <row r="65" spans="1:4">
      <c r="A65" s="32" t="s">
        <v>1252</v>
      </c>
      <c r="B65" s="32" t="s">
        <v>247</v>
      </c>
      <c r="C65" s="33" t="s">
        <v>71</v>
      </c>
      <c r="D65" s="34" t="s">
        <v>1062</v>
      </c>
    </row>
    <row r="66" spans="1:4">
      <c r="A66" s="32" t="s">
        <v>1253</v>
      </c>
      <c r="B66" s="32" t="s">
        <v>1033</v>
      </c>
      <c r="C66" s="33" t="s">
        <v>71</v>
      </c>
      <c r="D66" s="34" t="s">
        <v>1034</v>
      </c>
    </row>
    <row r="67" spans="1:4">
      <c r="A67" s="32" t="s">
        <v>1254</v>
      </c>
      <c r="B67" s="32" t="s">
        <v>1033</v>
      </c>
      <c r="C67" s="33" t="s">
        <v>71</v>
      </c>
      <c r="D67" s="34" t="s">
        <v>1034</v>
      </c>
    </row>
    <row r="68" spans="1:4">
      <c r="A68" s="32" t="s">
        <v>1255</v>
      </c>
      <c r="B68" s="32" t="s">
        <v>1033</v>
      </c>
      <c r="C68" s="33" t="s">
        <v>71</v>
      </c>
      <c r="D68" s="34" t="s">
        <v>1034</v>
      </c>
    </row>
    <row r="69" spans="1:4">
      <c r="A69" s="32" t="s">
        <v>1256</v>
      </c>
      <c r="B69" s="32" t="s">
        <v>331</v>
      </c>
      <c r="C69" s="33" t="s">
        <v>71</v>
      </c>
      <c r="D69" s="34" t="s">
        <v>332</v>
      </c>
    </row>
    <row r="70" spans="1:4">
      <c r="A70" s="32" t="s">
        <v>1257</v>
      </c>
      <c r="B70" s="32" t="s">
        <v>419</v>
      </c>
      <c r="C70" s="33" t="s">
        <v>71</v>
      </c>
      <c r="D70" s="34" t="s">
        <v>420</v>
      </c>
    </row>
    <row r="71" spans="1:4">
      <c r="A71" s="32" t="s">
        <v>1258</v>
      </c>
      <c r="B71" s="32" t="s">
        <v>419</v>
      </c>
      <c r="C71" s="33" t="s">
        <v>71</v>
      </c>
      <c r="D71" s="34" t="s">
        <v>420</v>
      </c>
    </row>
    <row r="72" spans="1:4">
      <c r="A72" s="32" t="s">
        <v>26</v>
      </c>
      <c r="B72" s="32" t="s">
        <v>419</v>
      </c>
      <c r="C72" s="33" t="s">
        <v>71</v>
      </c>
      <c r="D72" s="34" t="s">
        <v>420</v>
      </c>
    </row>
    <row r="73" spans="1:4">
      <c r="A73" s="32" t="s">
        <v>1259</v>
      </c>
      <c r="B73" s="32" t="s">
        <v>419</v>
      </c>
      <c r="C73" s="33" t="s">
        <v>71</v>
      </c>
      <c r="D73" s="34" t="s">
        <v>420</v>
      </c>
    </row>
    <row r="74" spans="1:4">
      <c r="A74" s="32" t="s">
        <v>1260</v>
      </c>
      <c r="B74" s="32" t="s">
        <v>419</v>
      </c>
      <c r="C74" s="33" t="s">
        <v>71</v>
      </c>
      <c r="D74" s="34" t="s">
        <v>420</v>
      </c>
    </row>
    <row r="75" spans="1:4">
      <c r="A75" s="32" t="s">
        <v>1261</v>
      </c>
      <c r="B75" s="32" t="s">
        <v>419</v>
      </c>
      <c r="C75" s="33" t="s">
        <v>71</v>
      </c>
      <c r="D75" s="34" t="s">
        <v>420</v>
      </c>
    </row>
    <row r="76" spans="1:4">
      <c r="A76" s="32" t="s">
        <v>1262</v>
      </c>
      <c r="B76" s="32" t="s">
        <v>312</v>
      </c>
      <c r="C76" s="33" t="s">
        <v>71</v>
      </c>
      <c r="D76" s="34" t="s">
        <v>1082</v>
      </c>
    </row>
    <row r="77" spans="1:4">
      <c r="A77" s="32" t="s">
        <v>1263</v>
      </c>
      <c r="B77" s="32" t="s">
        <v>312</v>
      </c>
      <c r="C77" s="33" t="s">
        <v>71</v>
      </c>
      <c r="D77" s="34" t="s">
        <v>1082</v>
      </c>
    </row>
    <row r="78" spans="1:4">
      <c r="A78" s="32" t="s">
        <v>39</v>
      </c>
      <c r="B78" s="32" t="s">
        <v>312</v>
      </c>
      <c r="C78" s="33" t="s">
        <v>71</v>
      </c>
      <c r="D78" s="34" t="s">
        <v>1082</v>
      </c>
    </row>
    <row r="79" spans="1:4">
      <c r="A79" s="32" t="s">
        <v>1264</v>
      </c>
      <c r="B79" s="32" t="s">
        <v>312</v>
      </c>
      <c r="C79" s="33" t="s">
        <v>71</v>
      </c>
      <c r="D79" s="34" t="s">
        <v>1082</v>
      </c>
    </row>
    <row r="80" spans="1:4">
      <c r="A80" s="32" t="s">
        <v>1265</v>
      </c>
      <c r="B80" s="32" t="s">
        <v>312</v>
      </c>
      <c r="C80" s="33" t="s">
        <v>71</v>
      </c>
      <c r="D80" s="34" t="s">
        <v>1082</v>
      </c>
    </row>
    <row r="81" spans="1:4">
      <c r="A81" s="32" t="s">
        <v>1266</v>
      </c>
      <c r="B81" s="32" t="s">
        <v>312</v>
      </c>
      <c r="C81" s="33" t="s">
        <v>71</v>
      </c>
      <c r="D81" s="34" t="s">
        <v>1082</v>
      </c>
    </row>
    <row r="82" spans="1:4">
      <c r="A82" s="32" t="s">
        <v>1267</v>
      </c>
      <c r="B82" s="32" t="s">
        <v>312</v>
      </c>
      <c r="C82" s="33" t="s">
        <v>71</v>
      </c>
      <c r="D82" s="34" t="s">
        <v>1082</v>
      </c>
    </row>
    <row r="83" spans="1:4">
      <c r="A83" s="32" t="s">
        <v>42</v>
      </c>
      <c r="B83" s="32" t="s">
        <v>1036</v>
      </c>
      <c r="C83" s="33" t="s">
        <v>71</v>
      </c>
      <c r="D83" s="34" t="s">
        <v>1037</v>
      </c>
    </row>
    <row r="84" spans="1:4">
      <c r="A84" s="32" t="s">
        <v>1268</v>
      </c>
      <c r="B84" s="32" t="s">
        <v>1036</v>
      </c>
      <c r="C84" s="33" t="s">
        <v>71</v>
      </c>
      <c r="D84" s="34" t="s">
        <v>1037</v>
      </c>
    </row>
    <row r="85" spans="1:4">
      <c r="A85" s="32" t="s">
        <v>1269</v>
      </c>
      <c r="B85" s="32" t="s">
        <v>1036</v>
      </c>
      <c r="C85" s="33" t="s">
        <v>71</v>
      </c>
      <c r="D85" s="34" t="s">
        <v>1037</v>
      </c>
    </row>
    <row r="86" spans="1:4">
      <c r="A86" s="32" t="s">
        <v>1270</v>
      </c>
      <c r="B86" s="32" t="s">
        <v>192</v>
      </c>
      <c r="C86" s="33" t="s">
        <v>71</v>
      </c>
      <c r="D86" s="34" t="s">
        <v>786</v>
      </c>
    </row>
    <row r="87" spans="1:4">
      <c r="A87" s="32" t="s">
        <v>1271</v>
      </c>
      <c r="B87" s="32" t="s">
        <v>1188</v>
      </c>
      <c r="C87" s="33" t="s">
        <v>71</v>
      </c>
      <c r="D87" s="34" t="s">
        <v>1189</v>
      </c>
    </row>
    <row r="88" spans="1:4">
      <c r="A88" s="32" t="s">
        <v>1272</v>
      </c>
      <c r="B88" s="32" t="s">
        <v>1188</v>
      </c>
      <c r="C88" s="33" t="s">
        <v>71</v>
      </c>
      <c r="D88" s="34" t="s">
        <v>1189</v>
      </c>
    </row>
    <row r="89" spans="1:4">
      <c r="A89" s="32" t="s">
        <v>1273</v>
      </c>
      <c r="B89" s="32" t="s">
        <v>1188</v>
      </c>
      <c r="C89" s="33" t="s">
        <v>71</v>
      </c>
      <c r="D89" s="34" t="s">
        <v>1189</v>
      </c>
    </row>
    <row r="90" spans="1:4">
      <c r="A90" s="32" t="s">
        <v>1274</v>
      </c>
      <c r="B90" s="32" t="s">
        <v>1188</v>
      </c>
      <c r="C90" s="33" t="s">
        <v>71</v>
      </c>
      <c r="D90" s="34" t="s">
        <v>1189</v>
      </c>
    </row>
    <row r="91" spans="1:4">
      <c r="A91" s="32" t="s">
        <v>1275</v>
      </c>
      <c r="B91" s="32" t="s">
        <v>1188</v>
      </c>
      <c r="C91" s="33" t="s">
        <v>71</v>
      </c>
      <c r="D91" s="34" t="s">
        <v>1189</v>
      </c>
    </row>
    <row r="92" spans="1:4">
      <c r="A92" s="32" t="s">
        <v>1276</v>
      </c>
      <c r="B92" s="32" t="s">
        <v>1188</v>
      </c>
      <c r="C92" s="33" t="s">
        <v>71</v>
      </c>
      <c r="D92" s="34" t="s">
        <v>1189</v>
      </c>
    </row>
    <row r="93" spans="1:4">
      <c r="A93" s="32" t="s">
        <v>1277</v>
      </c>
      <c r="B93" s="32" t="s">
        <v>1188</v>
      </c>
      <c r="C93" s="33" t="s">
        <v>71</v>
      </c>
      <c r="D93" s="34" t="s">
        <v>1189</v>
      </c>
    </row>
    <row r="94" spans="1:4">
      <c r="A94" s="32" t="s">
        <v>1278</v>
      </c>
      <c r="B94" s="32" t="s">
        <v>1188</v>
      </c>
      <c r="C94" s="33" t="s">
        <v>71</v>
      </c>
      <c r="D94" s="34" t="s">
        <v>1189</v>
      </c>
    </row>
    <row r="95" spans="1:4">
      <c r="A95" s="32" t="s">
        <v>1279</v>
      </c>
      <c r="B95" s="32" t="s">
        <v>1188</v>
      </c>
      <c r="C95" s="33" t="s">
        <v>71</v>
      </c>
      <c r="D95" s="34" t="s">
        <v>1189</v>
      </c>
    </row>
    <row r="96" spans="1:4">
      <c r="A96" s="32" t="s">
        <v>1280</v>
      </c>
      <c r="B96" s="32" t="s">
        <v>1188</v>
      </c>
      <c r="C96" s="33" t="s">
        <v>71</v>
      </c>
      <c r="D96" s="34" t="s">
        <v>1189</v>
      </c>
    </row>
    <row r="97" spans="1:4">
      <c r="A97" s="32" t="s">
        <v>1281</v>
      </c>
      <c r="B97" s="32" t="s">
        <v>1188</v>
      </c>
      <c r="C97" s="33" t="s">
        <v>71</v>
      </c>
      <c r="D97" s="34" t="s">
        <v>1189</v>
      </c>
    </row>
    <row r="98" spans="1:4">
      <c r="A98" s="32" t="s">
        <v>1282</v>
      </c>
      <c r="B98" s="32" t="s">
        <v>1188</v>
      </c>
      <c r="C98" s="33" t="s">
        <v>71</v>
      </c>
      <c r="D98" s="34" t="s">
        <v>1189</v>
      </c>
    </row>
    <row r="99" spans="1:4">
      <c r="A99" s="32" t="s">
        <v>1283</v>
      </c>
      <c r="B99" s="32" t="s">
        <v>1188</v>
      </c>
      <c r="C99" s="33" t="s">
        <v>71</v>
      </c>
      <c r="D99" s="34" t="s">
        <v>1189</v>
      </c>
    </row>
    <row r="100" spans="1:4">
      <c r="A100" s="32" t="s">
        <v>1284</v>
      </c>
      <c r="B100" s="32" t="s">
        <v>1188</v>
      </c>
      <c r="C100" s="33" t="s">
        <v>71</v>
      </c>
      <c r="D100" s="34" t="s">
        <v>1189</v>
      </c>
    </row>
    <row r="101" spans="1:4">
      <c r="A101" s="32" t="s">
        <v>1285</v>
      </c>
      <c r="B101" s="32" t="s">
        <v>1188</v>
      </c>
      <c r="C101" s="33" t="s">
        <v>71</v>
      </c>
      <c r="D101" s="34" t="s">
        <v>1189</v>
      </c>
    </row>
    <row r="102" spans="1:4">
      <c r="A102" s="32" t="s">
        <v>1286</v>
      </c>
      <c r="B102" s="32" t="s">
        <v>1188</v>
      </c>
      <c r="C102" s="33" t="s">
        <v>71</v>
      </c>
      <c r="D102" s="34" t="s">
        <v>1189</v>
      </c>
    </row>
    <row r="103" spans="1:4">
      <c r="A103" s="32" t="s">
        <v>1287</v>
      </c>
      <c r="B103" s="32" t="s">
        <v>1188</v>
      </c>
      <c r="C103" s="33" t="s">
        <v>71</v>
      </c>
      <c r="D103" s="34" t="s">
        <v>1189</v>
      </c>
    </row>
    <row r="104" spans="1:4">
      <c r="A104" s="32" t="s">
        <v>1288</v>
      </c>
      <c r="B104" s="32" t="s">
        <v>1188</v>
      </c>
      <c r="C104" s="33" t="s">
        <v>71</v>
      </c>
      <c r="D104" s="34" t="s">
        <v>1189</v>
      </c>
    </row>
    <row r="105" spans="1:4">
      <c r="A105" s="32" t="s">
        <v>1289</v>
      </c>
      <c r="B105" s="32" t="s">
        <v>1188</v>
      </c>
      <c r="C105" s="33" t="s">
        <v>71</v>
      </c>
      <c r="D105" s="34" t="s">
        <v>1189</v>
      </c>
    </row>
    <row r="106" spans="1:4">
      <c r="A106" s="32" t="s">
        <v>1290</v>
      </c>
      <c r="B106" s="32" t="s">
        <v>1188</v>
      </c>
      <c r="C106" s="33" t="s">
        <v>71</v>
      </c>
      <c r="D106" s="34" t="s">
        <v>1189</v>
      </c>
    </row>
    <row r="107" spans="1:4">
      <c r="A107" s="32" t="s">
        <v>1291</v>
      </c>
      <c r="B107" s="32" t="s">
        <v>1188</v>
      </c>
      <c r="C107" s="33" t="s">
        <v>71</v>
      </c>
      <c r="D107" s="34" t="s">
        <v>1189</v>
      </c>
    </row>
    <row r="108" spans="1:4">
      <c r="A108" s="32" t="s">
        <v>1292</v>
      </c>
      <c r="B108" s="32" t="s">
        <v>1188</v>
      </c>
      <c r="C108" s="33" t="s">
        <v>71</v>
      </c>
      <c r="D108" s="34" t="s">
        <v>1189</v>
      </c>
    </row>
    <row r="109" spans="1:4">
      <c r="A109" s="32" t="s">
        <v>1293</v>
      </c>
      <c r="B109" s="32" t="s">
        <v>1188</v>
      </c>
      <c r="C109" s="33" t="s">
        <v>71</v>
      </c>
      <c r="D109" s="34" t="s">
        <v>1189</v>
      </c>
    </row>
    <row r="110" spans="1:4">
      <c r="A110" s="32" t="s">
        <v>1294</v>
      </c>
      <c r="B110" s="32" t="s">
        <v>1188</v>
      </c>
      <c r="C110" s="33" t="s">
        <v>71</v>
      </c>
      <c r="D110" s="34" t="s">
        <v>1189</v>
      </c>
    </row>
    <row r="111" spans="1:4">
      <c r="A111" s="32" t="s">
        <v>1295</v>
      </c>
      <c r="B111" s="32" t="s">
        <v>1188</v>
      </c>
      <c r="C111" s="33" t="s">
        <v>71</v>
      </c>
      <c r="D111" s="34" t="s">
        <v>1189</v>
      </c>
    </row>
    <row r="112" spans="1:4">
      <c r="A112" s="32" t="s">
        <v>1296</v>
      </c>
      <c r="B112" s="32" t="s">
        <v>1188</v>
      </c>
      <c r="C112" s="33" t="s">
        <v>71</v>
      </c>
      <c r="D112" s="34" t="s">
        <v>1189</v>
      </c>
    </row>
    <row r="113" spans="1:4">
      <c r="A113" s="32" t="s">
        <v>1297</v>
      </c>
      <c r="B113" s="32" t="s">
        <v>1188</v>
      </c>
      <c r="C113" s="33" t="s">
        <v>71</v>
      </c>
      <c r="D113" s="34" t="s">
        <v>1189</v>
      </c>
    </row>
    <row r="114" spans="1:4">
      <c r="A114" s="32" t="s">
        <v>1298</v>
      </c>
      <c r="B114" s="32" t="s">
        <v>1188</v>
      </c>
      <c r="C114" s="33" t="s">
        <v>71</v>
      </c>
      <c r="D114" s="34" t="s">
        <v>1189</v>
      </c>
    </row>
    <row r="115" spans="1:4">
      <c r="A115" s="32" t="s">
        <v>1299</v>
      </c>
      <c r="B115" s="32" t="s">
        <v>1188</v>
      </c>
      <c r="C115" s="33" t="s">
        <v>71</v>
      </c>
      <c r="D115" s="34" t="s">
        <v>1189</v>
      </c>
    </row>
    <row r="116" spans="1:4">
      <c r="A116" s="32" t="s">
        <v>1300</v>
      </c>
      <c r="B116" s="32" t="s">
        <v>1188</v>
      </c>
      <c r="C116" s="33" t="s">
        <v>71</v>
      </c>
      <c r="D116" s="34" t="s">
        <v>1189</v>
      </c>
    </row>
    <row r="117" spans="1:4">
      <c r="A117" s="32" t="s">
        <v>1301</v>
      </c>
      <c r="B117" s="32" t="s">
        <v>1105</v>
      </c>
      <c r="C117" s="33" t="s">
        <v>71</v>
      </c>
      <c r="D117" s="34" t="s">
        <v>1106</v>
      </c>
    </row>
    <row r="118" spans="1:4">
      <c r="A118" s="32" t="s">
        <v>1302</v>
      </c>
      <c r="B118" s="32" t="s">
        <v>1188</v>
      </c>
      <c r="C118" s="33" t="s">
        <v>71</v>
      </c>
      <c r="D118" s="34" t="s">
        <v>1189</v>
      </c>
    </row>
    <row r="119" spans="1:4">
      <c r="A119" s="32" t="s">
        <v>1303</v>
      </c>
      <c r="B119" s="32" t="s">
        <v>192</v>
      </c>
      <c r="C119" s="33" t="s">
        <v>71</v>
      </c>
      <c r="D119" s="34" t="s">
        <v>786</v>
      </c>
    </row>
    <row r="120" spans="1:4">
      <c r="A120" s="32" t="s">
        <v>1304</v>
      </c>
      <c r="B120" s="32" t="s">
        <v>192</v>
      </c>
      <c r="C120" s="33" t="s">
        <v>71</v>
      </c>
      <c r="D120" s="34" t="s">
        <v>786</v>
      </c>
    </row>
    <row r="121" spans="1:4">
      <c r="A121" s="32" t="s">
        <v>1305</v>
      </c>
      <c r="B121" s="32" t="s">
        <v>1077</v>
      </c>
      <c r="C121" s="33" t="s">
        <v>71</v>
      </c>
      <c r="D121" s="34" t="s">
        <v>1078</v>
      </c>
    </row>
    <row r="122" spans="1:4">
      <c r="A122" s="32" t="s">
        <v>1306</v>
      </c>
      <c r="B122" s="32" t="s">
        <v>1077</v>
      </c>
      <c r="C122" s="33" t="s">
        <v>71</v>
      </c>
      <c r="D122" s="34" t="s">
        <v>1078</v>
      </c>
    </row>
    <row r="123" spans="1:4">
      <c r="A123" s="32" t="s">
        <v>1307</v>
      </c>
      <c r="B123" s="32" t="s">
        <v>1077</v>
      </c>
      <c r="C123" s="33" t="s">
        <v>71</v>
      </c>
      <c r="D123" s="34" t="s">
        <v>1078</v>
      </c>
    </row>
    <row r="124" spans="1:4">
      <c r="A124" s="32" t="s">
        <v>1308</v>
      </c>
      <c r="B124" s="32" t="s">
        <v>1087</v>
      </c>
      <c r="C124" s="33" t="s">
        <v>71</v>
      </c>
      <c r="D124" s="34" t="s">
        <v>1088</v>
      </c>
    </row>
    <row r="125" spans="1:4">
      <c r="A125" s="32" t="s">
        <v>1309</v>
      </c>
      <c r="B125" s="32" t="s">
        <v>1087</v>
      </c>
      <c r="C125" s="33" t="s">
        <v>71</v>
      </c>
      <c r="D125" s="34" t="s">
        <v>1088</v>
      </c>
    </row>
    <row r="126" spans="1:4">
      <c r="A126" s="32" t="s">
        <v>1310</v>
      </c>
      <c r="B126" s="32" t="s">
        <v>121</v>
      </c>
      <c r="C126" s="33" t="s">
        <v>71</v>
      </c>
      <c r="D126" s="34" t="s">
        <v>1093</v>
      </c>
    </row>
    <row r="127" spans="1:4">
      <c r="A127" s="32" t="s">
        <v>1311</v>
      </c>
      <c r="B127" s="32" t="s">
        <v>331</v>
      </c>
      <c r="C127" s="33" t="s">
        <v>71</v>
      </c>
      <c r="D127" s="34" t="s">
        <v>332</v>
      </c>
    </row>
    <row r="128" spans="1:4">
      <c r="A128" s="32" t="s">
        <v>1312</v>
      </c>
      <c r="B128" s="32" t="s">
        <v>331</v>
      </c>
      <c r="C128" s="33" t="s">
        <v>71</v>
      </c>
      <c r="D128" s="34" t="s">
        <v>332</v>
      </c>
    </row>
    <row r="129" spans="1:4">
      <c r="A129" s="32" t="s">
        <v>1313</v>
      </c>
      <c r="B129" s="32" t="s">
        <v>331</v>
      </c>
      <c r="C129" s="33" t="s">
        <v>71</v>
      </c>
      <c r="D129" s="34" t="s">
        <v>332</v>
      </c>
    </row>
    <row r="130" spans="1:4">
      <c r="A130" s="32" t="s">
        <v>1314</v>
      </c>
      <c r="B130" s="32" t="s">
        <v>331</v>
      </c>
      <c r="C130" s="33" t="s">
        <v>71</v>
      </c>
      <c r="D130" s="34" t="s">
        <v>332</v>
      </c>
    </row>
    <row r="131" spans="1:4">
      <c r="A131" s="32" t="s">
        <v>1315</v>
      </c>
      <c r="B131" s="32" t="s">
        <v>192</v>
      </c>
      <c r="C131" s="33" t="s">
        <v>71</v>
      </c>
      <c r="D131" s="34" t="s">
        <v>786</v>
      </c>
    </row>
    <row r="132" spans="1:4">
      <c r="A132" s="32" t="s">
        <v>1316</v>
      </c>
      <c r="B132" s="32" t="s">
        <v>192</v>
      </c>
      <c r="C132" s="33" t="s">
        <v>71</v>
      </c>
      <c r="D132" s="34" t="s">
        <v>786</v>
      </c>
    </row>
    <row r="133" spans="1:4">
      <c r="A133" s="32" t="s">
        <v>1317</v>
      </c>
      <c r="B133" s="32" t="s">
        <v>388</v>
      </c>
      <c r="C133" s="33" t="s">
        <v>71</v>
      </c>
      <c r="D133" s="34" t="s">
        <v>1103</v>
      </c>
    </row>
    <row r="134" spans="1:4">
      <c r="A134" s="32" t="s">
        <v>1318</v>
      </c>
      <c r="B134" s="32" t="s">
        <v>388</v>
      </c>
      <c r="C134" s="33" t="s">
        <v>71</v>
      </c>
      <c r="D134" s="34" t="s">
        <v>1103</v>
      </c>
    </row>
    <row r="135" spans="1:4">
      <c r="A135" s="32" t="s">
        <v>1319</v>
      </c>
      <c r="B135" s="32" t="s">
        <v>388</v>
      </c>
      <c r="C135" s="33" t="s">
        <v>71</v>
      </c>
      <c r="D135" s="34" t="s">
        <v>1103</v>
      </c>
    </row>
    <row r="136" spans="1:4">
      <c r="A136" s="32" t="s">
        <v>1320</v>
      </c>
      <c r="B136" s="32" t="s">
        <v>388</v>
      </c>
      <c r="C136" s="33" t="s">
        <v>71</v>
      </c>
      <c r="D136" s="34" t="s">
        <v>1103</v>
      </c>
    </row>
    <row r="137" spans="1:4">
      <c r="A137" s="32" t="s">
        <v>1321</v>
      </c>
      <c r="B137" s="32" t="s">
        <v>104</v>
      </c>
      <c r="C137" s="33" t="s">
        <v>71</v>
      </c>
      <c r="D137" s="34" t="s">
        <v>1028</v>
      </c>
    </row>
    <row r="138" spans="1:4">
      <c r="A138" s="32" t="s">
        <v>1322</v>
      </c>
      <c r="B138" s="32" t="s">
        <v>104</v>
      </c>
      <c r="C138" s="33" t="s">
        <v>71</v>
      </c>
      <c r="D138" s="34" t="s">
        <v>1028</v>
      </c>
    </row>
    <row r="139" spans="1:4">
      <c r="A139" s="32" t="s">
        <v>1323</v>
      </c>
      <c r="B139" s="32" t="s">
        <v>388</v>
      </c>
      <c r="C139" s="33" t="s">
        <v>71</v>
      </c>
      <c r="D139" s="34" t="s">
        <v>1103</v>
      </c>
    </row>
    <row r="140" spans="1:4">
      <c r="A140" s="32" t="s">
        <v>1324</v>
      </c>
      <c r="B140" s="32" t="s">
        <v>104</v>
      </c>
      <c r="C140" s="33" t="s">
        <v>71</v>
      </c>
      <c r="D140" s="34" t="s">
        <v>1028</v>
      </c>
    </row>
    <row r="141" spans="1:4">
      <c r="A141" s="32" t="s">
        <v>1325</v>
      </c>
      <c r="B141" s="32" t="s">
        <v>388</v>
      </c>
      <c r="C141" s="33" t="s">
        <v>71</v>
      </c>
      <c r="D141" s="34" t="s">
        <v>1103</v>
      </c>
    </row>
    <row r="142" spans="1:4">
      <c r="A142" s="32" t="s">
        <v>1326</v>
      </c>
      <c r="B142" s="32" t="s">
        <v>104</v>
      </c>
      <c r="C142" s="33" t="s">
        <v>71</v>
      </c>
      <c r="D142" s="34" t="s">
        <v>1028</v>
      </c>
    </row>
    <row r="143" spans="1:4">
      <c r="A143" s="32" t="s">
        <v>1327</v>
      </c>
      <c r="B143" s="32" t="s">
        <v>1090</v>
      </c>
      <c r="C143" s="33" t="s">
        <v>71</v>
      </c>
      <c r="D143" s="34" t="s">
        <v>1091</v>
      </c>
    </row>
    <row r="144" spans="1:4">
      <c r="A144" s="32" t="s">
        <v>1328</v>
      </c>
      <c r="B144" s="32" t="s">
        <v>972</v>
      </c>
      <c r="C144" s="33" t="s">
        <v>71</v>
      </c>
      <c r="D144" s="34" t="s">
        <v>1108</v>
      </c>
    </row>
    <row r="145" spans="1:4">
      <c r="A145" s="32" t="s">
        <v>1329</v>
      </c>
      <c r="B145" s="32" t="s">
        <v>104</v>
      </c>
      <c r="C145" s="33" t="s">
        <v>71</v>
      </c>
      <c r="D145" s="34" t="s">
        <v>1028</v>
      </c>
    </row>
    <row r="146" spans="1:4">
      <c r="A146" s="32" t="s">
        <v>1330</v>
      </c>
      <c r="B146" s="32" t="s">
        <v>104</v>
      </c>
      <c r="C146" s="33" t="s">
        <v>71</v>
      </c>
      <c r="D146" s="34" t="s">
        <v>1028</v>
      </c>
    </row>
    <row r="147" spans="1:4">
      <c r="A147" s="32" t="s">
        <v>1331</v>
      </c>
      <c r="B147" s="32" t="s">
        <v>312</v>
      </c>
      <c r="C147" s="33" t="s">
        <v>71</v>
      </c>
      <c r="D147" s="34" t="s">
        <v>1082</v>
      </c>
    </row>
    <row r="148" spans="1:4">
      <c r="A148" s="32" t="s">
        <v>1332</v>
      </c>
      <c r="B148" s="32" t="s">
        <v>312</v>
      </c>
      <c r="C148" s="33" t="s">
        <v>71</v>
      </c>
      <c r="D148" s="34" t="s">
        <v>1082</v>
      </c>
    </row>
    <row r="149" spans="1:4">
      <c r="A149" s="32" t="s">
        <v>1333</v>
      </c>
      <c r="B149" s="32" t="s">
        <v>312</v>
      </c>
      <c r="C149" s="33" t="s">
        <v>71</v>
      </c>
      <c r="D149" s="34" t="s">
        <v>1082</v>
      </c>
    </row>
    <row r="150" spans="1:4">
      <c r="A150" s="32" t="s">
        <v>1334</v>
      </c>
      <c r="B150" s="32" t="s">
        <v>1110</v>
      </c>
      <c r="C150" s="33" t="s">
        <v>71</v>
      </c>
      <c r="D150" s="34" t="s">
        <v>1111</v>
      </c>
    </row>
    <row r="151" spans="1:4">
      <c r="A151" s="32" t="s">
        <v>1335</v>
      </c>
      <c r="B151" s="32" t="s">
        <v>1036</v>
      </c>
      <c r="C151" s="33" t="s">
        <v>71</v>
      </c>
      <c r="D151" s="34" t="s">
        <v>1037</v>
      </c>
    </row>
    <row r="152" spans="1:4">
      <c r="A152" s="32" t="s">
        <v>1336</v>
      </c>
      <c r="B152" s="32" t="s">
        <v>1100</v>
      </c>
      <c r="C152" s="33" t="s">
        <v>71</v>
      </c>
      <c r="D152" s="34" t="s">
        <v>1101</v>
      </c>
    </row>
    <row r="153" spans="1:4">
      <c r="A153" s="32" t="s">
        <v>1337</v>
      </c>
      <c r="B153" s="32" t="s">
        <v>1100</v>
      </c>
      <c r="C153" s="33" t="s">
        <v>71</v>
      </c>
      <c r="D153" s="34" t="s">
        <v>1101</v>
      </c>
    </row>
    <row r="154" spans="1:4">
      <c r="A154" s="32" t="s">
        <v>1338</v>
      </c>
      <c r="B154" s="32" t="s">
        <v>1077</v>
      </c>
      <c r="C154" s="33" t="s">
        <v>71</v>
      </c>
      <c r="D154" s="34" t="s">
        <v>1078</v>
      </c>
    </row>
    <row r="155" spans="1:4">
      <c r="A155" s="32" t="s">
        <v>1339</v>
      </c>
      <c r="B155" s="32" t="s">
        <v>1113</v>
      </c>
      <c r="C155" s="33" t="s">
        <v>71</v>
      </c>
      <c r="D155" s="34" t="s">
        <v>1114</v>
      </c>
    </row>
    <row r="156" spans="1:4">
      <c r="A156" s="32" t="s">
        <v>1340</v>
      </c>
      <c r="B156" s="32" t="s">
        <v>1077</v>
      </c>
      <c r="C156" s="33" t="s">
        <v>71</v>
      </c>
      <c r="D156" s="34" t="s">
        <v>1078</v>
      </c>
    </row>
    <row r="157" spans="1:4">
      <c r="A157" s="32" t="s">
        <v>1341</v>
      </c>
      <c r="B157" s="32" t="s">
        <v>295</v>
      </c>
      <c r="C157" s="33" t="s">
        <v>71</v>
      </c>
      <c r="D157" s="34" t="s">
        <v>1080</v>
      </c>
    </row>
    <row r="158" spans="1:4">
      <c r="A158" s="32" t="s">
        <v>1342</v>
      </c>
      <c r="B158" s="32" t="s">
        <v>253</v>
      </c>
      <c r="C158" s="33" t="s">
        <v>71</v>
      </c>
      <c r="D158" s="34" t="s">
        <v>254</v>
      </c>
    </row>
    <row r="159" spans="1:4">
      <c r="A159" s="32" t="s">
        <v>1343</v>
      </c>
      <c r="B159" s="32" t="s">
        <v>419</v>
      </c>
      <c r="C159" s="33" t="s">
        <v>71</v>
      </c>
      <c r="D159" s="34" t="s">
        <v>420</v>
      </c>
    </row>
    <row r="160" spans="1:4">
      <c r="A160" s="32" t="s">
        <v>1344</v>
      </c>
      <c r="B160" s="32" t="s">
        <v>1117</v>
      </c>
      <c r="C160" s="33" t="s">
        <v>71</v>
      </c>
      <c r="D160" s="34" t="s">
        <v>1118</v>
      </c>
    </row>
    <row r="161" spans="1:4">
      <c r="A161" s="32" t="s">
        <v>1345</v>
      </c>
      <c r="B161" s="32" t="s">
        <v>395</v>
      </c>
      <c r="C161" s="33" t="s">
        <v>71</v>
      </c>
      <c r="D161" s="34" t="s">
        <v>395</v>
      </c>
    </row>
    <row r="162" spans="1:4">
      <c r="A162" s="32" t="s">
        <v>1346</v>
      </c>
      <c r="B162" s="32" t="s">
        <v>1121</v>
      </c>
      <c r="C162" s="33" t="s">
        <v>71</v>
      </c>
      <c r="D162" s="34" t="s">
        <v>1122</v>
      </c>
    </row>
    <row r="163" spans="1:4">
      <c r="A163" s="32" t="s">
        <v>1347</v>
      </c>
      <c r="B163" s="32" t="s">
        <v>1124</v>
      </c>
      <c r="C163" s="33" t="s">
        <v>71</v>
      </c>
      <c r="D163" s="34" t="s">
        <v>1125</v>
      </c>
    </row>
    <row r="164" spans="1:4">
      <c r="A164" s="32" t="s">
        <v>1348</v>
      </c>
      <c r="B164" s="32" t="s">
        <v>331</v>
      </c>
      <c r="C164" s="33" t="s">
        <v>71</v>
      </c>
      <c r="D164" s="34" t="s">
        <v>332</v>
      </c>
    </row>
    <row r="165" spans="1:4">
      <c r="A165" s="32" t="s">
        <v>1349</v>
      </c>
      <c r="B165" s="32" t="s">
        <v>253</v>
      </c>
      <c r="C165" s="33" t="s">
        <v>71</v>
      </c>
      <c r="D165" s="34" t="s">
        <v>254</v>
      </c>
    </row>
    <row r="166" spans="1:4">
      <c r="A166" s="32" t="s">
        <v>1350</v>
      </c>
      <c r="B166" s="32" t="s">
        <v>1010</v>
      </c>
      <c r="C166" s="33" t="s">
        <v>71</v>
      </c>
      <c r="D166" s="34" t="s">
        <v>1043</v>
      </c>
    </row>
    <row r="167" spans="1:4">
      <c r="A167" s="32" t="s">
        <v>1351</v>
      </c>
      <c r="B167" s="32" t="s">
        <v>1130</v>
      </c>
      <c r="C167" s="33" t="s">
        <v>71</v>
      </c>
      <c r="D167" s="34" t="s">
        <v>1131</v>
      </c>
    </row>
    <row r="168" spans="1:4">
      <c r="A168" s="32" t="s">
        <v>1352</v>
      </c>
      <c r="B168" s="32" t="s">
        <v>142</v>
      </c>
      <c r="C168" s="33" t="s">
        <v>71</v>
      </c>
      <c r="D168" s="34" t="s">
        <v>1133</v>
      </c>
    </row>
    <row r="169" spans="1:4">
      <c r="A169" s="32" t="s">
        <v>1353</v>
      </c>
      <c r="B169" s="32" t="s">
        <v>1135</v>
      </c>
      <c r="C169" s="33" t="s">
        <v>71</v>
      </c>
      <c r="D169" s="34" t="s">
        <v>1136</v>
      </c>
    </row>
    <row r="170" spans="1:4">
      <c r="A170" s="32" t="s">
        <v>1354</v>
      </c>
      <c r="B170" s="32" t="s">
        <v>312</v>
      </c>
      <c r="C170" s="33" t="s">
        <v>71</v>
      </c>
      <c r="D170" s="34" t="s">
        <v>1082</v>
      </c>
    </row>
    <row r="171" spans="1:4">
      <c r="A171" s="32" t="s">
        <v>1355</v>
      </c>
      <c r="B171" s="32" t="s">
        <v>192</v>
      </c>
      <c r="C171" s="33" t="s">
        <v>71</v>
      </c>
      <c r="D171" s="34" t="s">
        <v>786</v>
      </c>
    </row>
    <row r="172" spans="1:4">
      <c r="A172" s="32" t="s">
        <v>1356</v>
      </c>
      <c r="B172" s="32" t="s">
        <v>192</v>
      </c>
      <c r="C172" s="33" t="s">
        <v>71</v>
      </c>
      <c r="D172" s="34" t="s">
        <v>786</v>
      </c>
    </row>
    <row r="173" spans="1:4">
      <c r="A173" s="32" t="s">
        <v>1357</v>
      </c>
      <c r="B173" s="32" t="s">
        <v>331</v>
      </c>
      <c r="C173" s="33" t="s">
        <v>71</v>
      </c>
      <c r="D173" s="34" t="s">
        <v>332</v>
      </c>
    </row>
    <row r="174" spans="1:4">
      <c r="A174" s="32" t="s">
        <v>1358</v>
      </c>
      <c r="B174" s="32" t="s">
        <v>331</v>
      </c>
      <c r="C174" s="33" t="s">
        <v>71</v>
      </c>
      <c r="D174" s="34" t="s">
        <v>332</v>
      </c>
    </row>
    <row r="175" spans="1:4">
      <c r="A175" s="32" t="s">
        <v>1359</v>
      </c>
      <c r="B175" s="32" t="s">
        <v>104</v>
      </c>
      <c r="C175" s="33" t="s">
        <v>71</v>
      </c>
      <c r="D175" s="34" t="s">
        <v>1028</v>
      </c>
    </row>
    <row r="176" spans="1:4">
      <c r="A176" s="32" t="s">
        <v>1360</v>
      </c>
      <c r="B176" s="32" t="s">
        <v>104</v>
      </c>
      <c r="C176" s="33" t="s">
        <v>71</v>
      </c>
      <c r="D176" s="34" t="s">
        <v>1028</v>
      </c>
    </row>
    <row r="177" spans="1:4">
      <c r="A177" s="32" t="s">
        <v>1361</v>
      </c>
      <c r="B177" s="32" t="s">
        <v>104</v>
      </c>
      <c r="C177" s="33" t="s">
        <v>71</v>
      </c>
      <c r="D177" s="34" t="s">
        <v>1028</v>
      </c>
    </row>
    <row r="178" spans="1:4">
      <c r="A178" s="32" t="s">
        <v>1362</v>
      </c>
      <c r="B178" s="32" t="s">
        <v>104</v>
      </c>
      <c r="C178" s="33" t="s">
        <v>71</v>
      </c>
      <c r="D178" s="34" t="s">
        <v>1028</v>
      </c>
    </row>
    <row r="179" spans="1:4">
      <c r="A179" s="32" t="s">
        <v>1363</v>
      </c>
      <c r="B179" s="32" t="s">
        <v>312</v>
      </c>
      <c r="C179" s="33" t="s">
        <v>71</v>
      </c>
      <c r="D179" s="34" t="s">
        <v>1082</v>
      </c>
    </row>
    <row r="180" spans="1:4">
      <c r="A180" s="32" t="s">
        <v>1364</v>
      </c>
      <c r="B180" s="32" t="s">
        <v>312</v>
      </c>
      <c r="C180" s="33" t="s">
        <v>71</v>
      </c>
      <c r="D180" s="34" t="s">
        <v>1082</v>
      </c>
    </row>
    <row r="181" spans="1:4">
      <c r="A181" s="32" t="s">
        <v>1365</v>
      </c>
      <c r="B181" s="32" t="s">
        <v>192</v>
      </c>
      <c r="C181" s="33" t="s">
        <v>71</v>
      </c>
      <c r="D181" s="34" t="s">
        <v>786</v>
      </c>
    </row>
    <row r="182" spans="1:4">
      <c r="A182" s="32" t="s">
        <v>1366</v>
      </c>
      <c r="B182" s="32" t="s">
        <v>1097</v>
      </c>
      <c r="C182" s="33" t="s">
        <v>71</v>
      </c>
      <c r="D182" s="34" t="s">
        <v>1098</v>
      </c>
    </row>
    <row r="183" spans="1:4">
      <c r="A183" s="32" t="s">
        <v>1367</v>
      </c>
      <c r="B183" s="32" t="s">
        <v>331</v>
      </c>
      <c r="C183" s="33" t="s">
        <v>71</v>
      </c>
      <c r="D183" s="34" t="s">
        <v>332</v>
      </c>
    </row>
    <row r="184" spans="1:4">
      <c r="A184" s="32" t="s">
        <v>1368</v>
      </c>
      <c r="B184" s="32" t="s">
        <v>192</v>
      </c>
      <c r="C184" s="33" t="s">
        <v>71</v>
      </c>
      <c r="D184" s="34" t="s">
        <v>786</v>
      </c>
    </row>
    <row r="185" spans="1:4">
      <c r="A185" s="32" t="s">
        <v>1369</v>
      </c>
      <c r="B185" s="32" t="s">
        <v>92</v>
      </c>
      <c r="C185" s="33" t="s">
        <v>71</v>
      </c>
      <c r="D185" s="34" t="s">
        <v>1140</v>
      </c>
    </row>
    <row r="186" spans="1:4">
      <c r="A186" s="32" t="s">
        <v>1370</v>
      </c>
      <c r="B186" s="32" t="s">
        <v>192</v>
      </c>
      <c r="C186" s="33" t="s">
        <v>71</v>
      </c>
      <c r="D186" s="34" t="s">
        <v>786</v>
      </c>
    </row>
    <row r="187" spans="1:4">
      <c r="A187" s="32" t="s">
        <v>1371</v>
      </c>
      <c r="B187" s="32" t="s">
        <v>395</v>
      </c>
      <c r="C187" s="33" t="s">
        <v>71</v>
      </c>
      <c r="D187" s="34" t="s">
        <v>395</v>
      </c>
    </row>
    <row r="188" spans="1:4">
      <c r="A188" s="32" t="s">
        <v>1372</v>
      </c>
      <c r="B188" s="32" t="s">
        <v>69</v>
      </c>
      <c r="C188" s="33" t="s">
        <v>71</v>
      </c>
      <c r="D188" s="34" t="s">
        <v>1138</v>
      </c>
    </row>
    <row r="189" spans="1:4">
      <c r="A189" s="32" t="s">
        <v>1373</v>
      </c>
      <c r="B189" s="32" t="s">
        <v>131</v>
      </c>
      <c r="C189" s="33" t="s">
        <v>71</v>
      </c>
      <c r="D189" s="34" t="s">
        <v>1057</v>
      </c>
    </row>
    <row r="190" spans="1:4">
      <c r="A190" s="32" t="s">
        <v>1374</v>
      </c>
      <c r="B190" s="32" t="s">
        <v>1097</v>
      </c>
      <c r="C190" s="33" t="s">
        <v>71</v>
      </c>
      <c r="D190" s="34" t="s">
        <v>1098</v>
      </c>
    </row>
    <row r="191" spans="1:4">
      <c r="A191" s="32" t="s">
        <v>1375</v>
      </c>
      <c r="B191" s="32" t="s">
        <v>1143</v>
      </c>
      <c r="C191" s="33" t="s">
        <v>71</v>
      </c>
      <c r="D191" s="34" t="s">
        <v>1144</v>
      </c>
    </row>
    <row r="192" spans="1:4">
      <c r="A192" s="32" t="s">
        <v>1376</v>
      </c>
      <c r="B192" s="32" t="s">
        <v>295</v>
      </c>
      <c r="C192" s="33" t="s">
        <v>71</v>
      </c>
      <c r="D192" s="34" t="s">
        <v>1080</v>
      </c>
    </row>
    <row r="193" spans="1:4">
      <c r="A193" s="32" t="s">
        <v>1377</v>
      </c>
      <c r="B193" s="32" t="s">
        <v>177</v>
      </c>
      <c r="C193" s="33" t="s">
        <v>71</v>
      </c>
      <c r="D193" s="34" t="s">
        <v>178</v>
      </c>
    </row>
    <row r="194" spans="1:4">
      <c r="A194" s="32" t="s">
        <v>1378</v>
      </c>
      <c r="B194" s="32" t="s">
        <v>92</v>
      </c>
      <c r="C194" s="33" t="s">
        <v>71</v>
      </c>
      <c r="D194" s="34" t="s">
        <v>1140</v>
      </c>
    </row>
    <row r="195" spans="1:4">
      <c r="A195" s="32" t="s">
        <v>1379</v>
      </c>
      <c r="B195" s="32" t="s">
        <v>388</v>
      </c>
      <c r="C195" s="33" t="s">
        <v>71</v>
      </c>
      <c r="D195" s="34" t="s">
        <v>1103</v>
      </c>
    </row>
    <row r="196" spans="1:4">
      <c r="A196" s="32" t="s">
        <v>1380</v>
      </c>
      <c r="B196" s="32" t="s">
        <v>192</v>
      </c>
      <c r="C196" s="33" t="s">
        <v>71</v>
      </c>
      <c r="D196" s="34" t="s">
        <v>786</v>
      </c>
    </row>
    <row r="197" spans="1:4">
      <c r="A197" s="32" t="s">
        <v>1381</v>
      </c>
      <c r="B197" s="32" t="s">
        <v>192</v>
      </c>
      <c r="C197" s="33" t="s">
        <v>71</v>
      </c>
      <c r="D197" s="34" t="s">
        <v>786</v>
      </c>
    </row>
    <row r="198" spans="1:4">
      <c r="A198" s="32" t="s">
        <v>1382</v>
      </c>
      <c r="B198" s="32" t="s">
        <v>312</v>
      </c>
      <c r="C198" s="33" t="s">
        <v>71</v>
      </c>
      <c r="D198" s="34" t="s">
        <v>1082</v>
      </c>
    </row>
    <row r="199" spans="1:4">
      <c r="A199" s="32" t="s">
        <v>1383</v>
      </c>
      <c r="B199" s="32" t="s">
        <v>253</v>
      </c>
      <c r="C199" s="33" t="s">
        <v>71</v>
      </c>
      <c r="D199" s="34" t="s">
        <v>254</v>
      </c>
    </row>
    <row r="200" spans="1:4">
      <c r="A200" s="32" t="s">
        <v>1384</v>
      </c>
      <c r="B200" s="32" t="s">
        <v>69</v>
      </c>
      <c r="C200" s="33" t="s">
        <v>71</v>
      </c>
      <c r="D200" s="34" t="s">
        <v>1138</v>
      </c>
    </row>
    <row r="201" spans="1:4">
      <c r="A201" s="32" t="s">
        <v>1385</v>
      </c>
      <c r="B201" s="32" t="s">
        <v>331</v>
      </c>
      <c r="C201" s="33" t="s">
        <v>71</v>
      </c>
      <c r="D201" s="34" t="s">
        <v>332</v>
      </c>
    </row>
    <row r="202" spans="1:4">
      <c r="A202" s="32" t="s">
        <v>1386</v>
      </c>
      <c r="B202" s="32" t="s">
        <v>198</v>
      </c>
      <c r="C202" s="33" t="s">
        <v>71</v>
      </c>
      <c r="D202" s="34" t="s">
        <v>811</v>
      </c>
    </row>
    <row r="203" spans="1:4">
      <c r="A203" s="32" t="s">
        <v>1387</v>
      </c>
      <c r="B203" s="32" t="s">
        <v>279</v>
      </c>
      <c r="C203" s="33" t="s">
        <v>71</v>
      </c>
      <c r="D203" s="34" t="s">
        <v>1067</v>
      </c>
    </row>
    <row r="204" spans="1:4">
      <c r="A204" s="32" t="s">
        <v>1388</v>
      </c>
      <c r="B204" s="32" t="s">
        <v>419</v>
      </c>
      <c r="C204" s="33" t="s">
        <v>71</v>
      </c>
      <c r="D204" s="34" t="s">
        <v>420</v>
      </c>
    </row>
    <row r="205" spans="1:4">
      <c r="A205" s="32" t="s">
        <v>1389</v>
      </c>
      <c r="B205" s="32" t="s">
        <v>131</v>
      </c>
      <c r="C205" s="33" t="s">
        <v>71</v>
      </c>
      <c r="D205" s="34" t="s">
        <v>1057</v>
      </c>
    </row>
    <row r="206" spans="1:4">
      <c r="A206" s="32" t="s">
        <v>1390</v>
      </c>
      <c r="B206" s="32" t="s">
        <v>1005</v>
      </c>
      <c r="C206" s="33" t="s">
        <v>71</v>
      </c>
      <c r="D206" s="34" t="s">
        <v>1006</v>
      </c>
    </row>
    <row r="207" spans="1:4">
      <c r="A207" s="32" t="s">
        <v>1391</v>
      </c>
      <c r="B207" s="32" t="s">
        <v>192</v>
      </c>
      <c r="C207" s="33" t="s">
        <v>71</v>
      </c>
      <c r="D207" s="34" t="s">
        <v>786</v>
      </c>
    </row>
    <row r="208" spans="1:4">
      <c r="A208" s="32" t="s">
        <v>1392</v>
      </c>
      <c r="B208" s="32" t="s">
        <v>92</v>
      </c>
      <c r="C208" s="33" t="s">
        <v>71</v>
      </c>
      <c r="D208" s="34" t="s">
        <v>1140</v>
      </c>
    </row>
    <row r="209" spans="1:4">
      <c r="A209" s="32" t="s">
        <v>1393</v>
      </c>
      <c r="B209" s="32" t="s">
        <v>92</v>
      </c>
      <c r="C209" s="33" t="s">
        <v>71</v>
      </c>
      <c r="D209" s="34" t="s">
        <v>1140</v>
      </c>
    </row>
    <row r="210" spans="1:4">
      <c r="A210" s="32" t="s">
        <v>1394</v>
      </c>
      <c r="B210" s="32" t="s">
        <v>104</v>
      </c>
      <c r="C210" s="33" t="s">
        <v>71</v>
      </c>
      <c r="D210" s="34" t="s">
        <v>1028</v>
      </c>
    </row>
    <row r="211" spans="1:4">
      <c r="A211" s="32" t="s">
        <v>1395</v>
      </c>
      <c r="B211" s="32" t="s">
        <v>104</v>
      </c>
      <c r="C211" s="33" t="s">
        <v>71</v>
      </c>
      <c r="D211" s="34" t="s">
        <v>1028</v>
      </c>
    </row>
    <row r="212" spans="1:4">
      <c r="A212" s="32" t="s">
        <v>1396</v>
      </c>
      <c r="B212" s="32" t="s">
        <v>104</v>
      </c>
      <c r="C212" s="33" t="s">
        <v>71</v>
      </c>
      <c r="D212" s="34" t="s">
        <v>1028</v>
      </c>
    </row>
    <row r="213" spans="1:4">
      <c r="A213" s="35" t="s">
        <v>1397</v>
      </c>
      <c r="B213" s="35" t="s">
        <v>198</v>
      </c>
      <c r="C213" s="33" t="s">
        <v>71</v>
      </c>
      <c r="D213" s="35" t="s">
        <v>811</v>
      </c>
    </row>
    <row r="214" spans="1:4">
      <c r="A214" s="32" t="s">
        <v>1398</v>
      </c>
      <c r="B214" s="32" t="s">
        <v>312</v>
      </c>
      <c r="C214" s="33" t="s">
        <v>71</v>
      </c>
      <c r="D214" s="34" t="s">
        <v>1082</v>
      </c>
    </row>
    <row r="215" spans="1:4">
      <c r="A215" s="32" t="s">
        <v>1399</v>
      </c>
      <c r="B215" s="32" t="s">
        <v>253</v>
      </c>
      <c r="C215" s="33" t="s">
        <v>71</v>
      </c>
      <c r="D215" s="34" t="s">
        <v>254</v>
      </c>
    </row>
    <row r="216" spans="1:4">
      <c r="A216" s="32" t="s">
        <v>1400</v>
      </c>
      <c r="B216" s="32" t="s">
        <v>331</v>
      </c>
      <c r="C216" s="33" t="s">
        <v>71</v>
      </c>
      <c r="D216" s="34" t="s">
        <v>332</v>
      </c>
    </row>
    <row r="217" spans="1:4">
      <c r="A217" s="32" t="s">
        <v>1401</v>
      </c>
      <c r="B217" s="32" t="s">
        <v>279</v>
      </c>
      <c r="C217" s="33" t="s">
        <v>71</v>
      </c>
      <c r="D217" s="34" t="s">
        <v>1067</v>
      </c>
    </row>
    <row r="218" spans="1:4">
      <c r="A218" s="32" t="s">
        <v>1402</v>
      </c>
      <c r="B218" s="32" t="s">
        <v>231</v>
      </c>
      <c r="C218" s="33" t="s">
        <v>71</v>
      </c>
      <c r="D218" s="34" t="s">
        <v>1155</v>
      </c>
    </row>
    <row r="219" spans="1:4">
      <c r="A219" s="32" t="s">
        <v>1403</v>
      </c>
      <c r="B219" s="32" t="s">
        <v>253</v>
      </c>
      <c r="C219" s="33" t="s">
        <v>71</v>
      </c>
      <c r="D219" s="34" t="s">
        <v>254</v>
      </c>
    </row>
    <row r="220" spans="1:4">
      <c r="A220" s="32" t="s">
        <v>1404</v>
      </c>
      <c r="B220" s="32" t="s">
        <v>184</v>
      </c>
      <c r="C220" s="33" t="s">
        <v>71</v>
      </c>
      <c r="D220" s="34" t="s">
        <v>185</v>
      </c>
    </row>
    <row r="221" spans="1:4">
      <c r="A221" s="32" t="s">
        <v>502</v>
      </c>
      <c r="B221" s="32" t="s">
        <v>192</v>
      </c>
      <c r="C221" s="33" t="s">
        <v>71</v>
      </c>
      <c r="D221" s="34" t="s">
        <v>786</v>
      </c>
    </row>
    <row r="222" spans="1:4">
      <c r="A222" s="37" t="s">
        <v>1193</v>
      </c>
      <c r="B222" s="38" t="s">
        <v>419</v>
      </c>
      <c r="C222" s="39" t="s">
        <v>71</v>
      </c>
      <c r="D222" s="38" t="s">
        <v>420</v>
      </c>
    </row>
    <row r="223" spans="1:4">
      <c r="A223" s="36" t="s">
        <v>1405</v>
      </c>
      <c r="B223" s="36" t="s">
        <v>198</v>
      </c>
      <c r="C223" s="33" t="s">
        <v>71</v>
      </c>
      <c r="D223" s="36" t="s">
        <v>811</v>
      </c>
    </row>
  </sheetData>
  <autoFilter ref="A1:D223" xr:uid="{DEB1305D-5F14-4EDE-AF2D-C2EA5352C0B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16690-7E88-40BC-9475-D506B3D91B51}">
  <sheetPr codeName="Sheet4"/>
  <dimension ref="A1:V45"/>
  <sheetViews>
    <sheetView topLeftCell="C1" workbookViewId="0">
      <pane ySplit="1" topLeftCell="A14" activePane="bottomLeft" state="frozen"/>
      <selection pane="bottomLeft" activeCell="E41" sqref="E41"/>
    </sheetView>
  </sheetViews>
  <sheetFormatPr defaultColWidth="9.140625" defaultRowHeight="13.15"/>
  <cols>
    <col min="1" max="2" width="23.28515625" customWidth="1"/>
    <col min="4" max="4" width="10.42578125" customWidth="1"/>
    <col min="5" max="5" width="23.28515625" bestFit="1" customWidth="1"/>
    <col min="6" max="6" width="40.7109375" bestFit="1" customWidth="1"/>
    <col min="7" max="7" width="32.85546875" bestFit="1" customWidth="1"/>
    <col min="8" max="8" width="18.28515625" customWidth="1"/>
    <col min="13" max="13" width="16.42578125" customWidth="1"/>
  </cols>
  <sheetData>
    <row r="1" spans="1:22" ht="14.45">
      <c r="A1" s="24" t="s">
        <v>1406</v>
      </c>
      <c r="B1" s="24" t="s">
        <v>1407</v>
      </c>
      <c r="C1" s="24" t="s">
        <v>1408</v>
      </c>
      <c r="D1" s="24" t="s">
        <v>1409</v>
      </c>
      <c r="E1" s="24" t="s">
        <v>1410</v>
      </c>
      <c r="F1" s="24" t="s">
        <v>1411</v>
      </c>
      <c r="G1" s="24" t="s">
        <v>1412</v>
      </c>
      <c r="H1" s="24" t="s">
        <v>1413</v>
      </c>
      <c r="I1" s="24" t="s">
        <v>1414</v>
      </c>
      <c r="J1" s="24" t="s">
        <v>1415</v>
      </c>
      <c r="K1" s="24" t="s">
        <v>1416</v>
      </c>
      <c r="L1" s="24" t="s">
        <v>1417</v>
      </c>
      <c r="M1" s="24" t="s">
        <v>1418</v>
      </c>
      <c r="N1" s="24" t="s">
        <v>1419</v>
      </c>
      <c r="O1" s="24" t="s">
        <v>1420</v>
      </c>
      <c r="P1" s="24" t="s">
        <v>1421</v>
      </c>
      <c r="Q1" s="24" t="s">
        <v>1422</v>
      </c>
      <c r="R1" s="24" t="s">
        <v>1423</v>
      </c>
      <c r="S1" s="24" t="s">
        <v>1424</v>
      </c>
      <c r="T1" s="24" t="s">
        <v>1425</v>
      </c>
      <c r="U1" s="24" t="s">
        <v>1426</v>
      </c>
      <c r="V1" s="24" t="s">
        <v>1427</v>
      </c>
    </row>
    <row r="2" spans="1:22" ht="14.45">
      <c r="A2" s="24" t="s">
        <v>1428</v>
      </c>
      <c r="B2" s="24"/>
      <c r="C2" s="24">
        <v>5043</v>
      </c>
      <c r="D2" s="24" t="s">
        <v>1250</v>
      </c>
      <c r="E2" s="24" t="s">
        <v>1429</v>
      </c>
      <c r="F2" s="24" t="s">
        <v>1430</v>
      </c>
      <c r="G2" s="24" t="s">
        <v>1431</v>
      </c>
      <c r="H2" s="24" t="s">
        <v>1432</v>
      </c>
      <c r="I2" s="24" t="s">
        <v>30</v>
      </c>
      <c r="J2" s="24" t="s">
        <v>1433</v>
      </c>
      <c r="K2" s="24" t="s">
        <v>1434</v>
      </c>
      <c r="L2" s="24" t="s">
        <v>1435</v>
      </c>
      <c r="M2" s="24" t="s">
        <v>1428</v>
      </c>
      <c r="N2" s="24"/>
      <c r="O2" s="24"/>
      <c r="P2" s="24">
        <v>0</v>
      </c>
      <c r="Q2" s="25">
        <v>36616.22</v>
      </c>
      <c r="R2" s="25">
        <v>36608.22</v>
      </c>
      <c r="S2" s="24" t="s">
        <v>1436</v>
      </c>
      <c r="T2" s="24">
        <v>0</v>
      </c>
      <c r="U2" s="24" t="s">
        <v>1433</v>
      </c>
      <c r="V2" s="24" t="s">
        <v>1437</v>
      </c>
    </row>
    <row r="3" spans="1:22" ht="14.45">
      <c r="A3" s="24" t="s">
        <v>1428</v>
      </c>
      <c r="B3" s="24"/>
      <c r="C3" s="24">
        <v>5044</v>
      </c>
      <c r="D3" s="24" t="s">
        <v>1251</v>
      </c>
      <c r="E3" s="24" t="s">
        <v>1429</v>
      </c>
      <c r="F3" s="24" t="s">
        <v>1438</v>
      </c>
      <c r="G3" s="24" t="s">
        <v>1431</v>
      </c>
      <c r="H3" s="24" t="s">
        <v>1432</v>
      </c>
      <c r="I3" s="24" t="s">
        <v>30</v>
      </c>
      <c r="J3" s="24" t="s">
        <v>1433</v>
      </c>
      <c r="K3" s="24" t="s">
        <v>1434</v>
      </c>
      <c r="L3" s="24" t="s">
        <v>1435</v>
      </c>
      <c r="M3" s="24" t="s">
        <v>1428</v>
      </c>
      <c r="N3" s="24"/>
      <c r="O3" s="24"/>
      <c r="P3" s="24">
        <v>0</v>
      </c>
      <c r="Q3" s="25">
        <v>15668.02</v>
      </c>
      <c r="R3" s="25">
        <v>15597.52</v>
      </c>
      <c r="S3" s="24" t="s">
        <v>1436</v>
      </c>
      <c r="T3" s="24">
        <v>0</v>
      </c>
      <c r="U3" s="24" t="s">
        <v>1433</v>
      </c>
      <c r="V3" s="24" t="s">
        <v>1437</v>
      </c>
    </row>
    <row r="4" spans="1:22" ht="14.45">
      <c r="A4" s="24" t="s">
        <v>1428</v>
      </c>
      <c r="B4" s="24"/>
      <c r="C4" s="24">
        <v>5045</v>
      </c>
      <c r="D4" s="24" t="s">
        <v>246</v>
      </c>
      <c r="E4" s="24" t="s">
        <v>1429</v>
      </c>
      <c r="F4" s="24" t="s">
        <v>1439</v>
      </c>
      <c r="G4" s="24" t="s">
        <v>1431</v>
      </c>
      <c r="H4" s="24" t="s">
        <v>1432</v>
      </c>
      <c r="I4" s="24" t="s">
        <v>30</v>
      </c>
      <c r="J4" s="24" t="s">
        <v>1433</v>
      </c>
      <c r="K4" s="24" t="s">
        <v>1434</v>
      </c>
      <c r="L4" s="24" t="s">
        <v>1435</v>
      </c>
      <c r="M4" s="24" t="s">
        <v>1428</v>
      </c>
      <c r="N4" s="24"/>
      <c r="O4" s="24"/>
      <c r="P4" s="25">
        <v>1035.1600000000001</v>
      </c>
      <c r="Q4" s="25">
        <v>56751.6</v>
      </c>
      <c r="R4" s="25">
        <v>56578.1</v>
      </c>
      <c r="S4" s="24" t="s">
        <v>1436</v>
      </c>
      <c r="T4" s="24">
        <v>100</v>
      </c>
      <c r="U4" s="24" t="s">
        <v>1433</v>
      </c>
      <c r="V4" s="24" t="s">
        <v>1437</v>
      </c>
    </row>
    <row r="5" spans="1:22" ht="14.45">
      <c r="A5" s="24" t="s">
        <v>1428</v>
      </c>
      <c r="B5" s="24"/>
      <c r="C5" s="24">
        <v>5046</v>
      </c>
      <c r="D5" s="24" t="s">
        <v>1252</v>
      </c>
      <c r="E5" s="24" t="s">
        <v>1429</v>
      </c>
      <c r="F5" s="24" t="s">
        <v>1440</v>
      </c>
      <c r="G5" s="24" t="s">
        <v>1431</v>
      </c>
      <c r="H5" s="24" t="s">
        <v>1432</v>
      </c>
      <c r="I5" s="24" t="s">
        <v>30</v>
      </c>
      <c r="J5" s="24" t="s">
        <v>1433</v>
      </c>
      <c r="K5" s="24" t="s">
        <v>1434</v>
      </c>
      <c r="L5" s="24" t="s">
        <v>1435</v>
      </c>
      <c r="M5" s="24" t="s">
        <v>1428</v>
      </c>
      <c r="N5" s="24"/>
      <c r="O5" s="24"/>
      <c r="P5" s="24">
        <v>0</v>
      </c>
      <c r="Q5" s="25">
        <v>3647.4</v>
      </c>
      <c r="R5" s="25">
        <v>3647.4</v>
      </c>
      <c r="S5" s="24" t="s">
        <v>1436</v>
      </c>
      <c r="T5" s="24">
        <v>0</v>
      </c>
      <c r="U5" s="24" t="s">
        <v>1433</v>
      </c>
      <c r="V5" s="24" t="s">
        <v>1437</v>
      </c>
    </row>
    <row r="6" spans="1:22" ht="14.45">
      <c r="A6" s="24" t="s">
        <v>1428</v>
      </c>
      <c r="B6" s="24"/>
      <c r="C6" s="24">
        <v>5047</v>
      </c>
      <c r="D6" s="24" t="s">
        <v>1253</v>
      </c>
      <c r="E6" s="24" t="s">
        <v>1429</v>
      </c>
      <c r="F6" s="24" t="s">
        <v>1441</v>
      </c>
      <c r="G6" s="24" t="s">
        <v>1431</v>
      </c>
      <c r="H6" s="24" t="s">
        <v>1432</v>
      </c>
      <c r="I6" s="24" t="s">
        <v>30</v>
      </c>
      <c r="J6" s="24" t="s">
        <v>1442</v>
      </c>
      <c r="K6" s="24" t="s">
        <v>1434</v>
      </c>
      <c r="L6" s="24" t="s">
        <v>1435</v>
      </c>
      <c r="M6" s="24" t="s">
        <v>1428</v>
      </c>
      <c r="N6" s="24"/>
      <c r="O6" s="24"/>
      <c r="P6" s="24">
        <v>0</v>
      </c>
      <c r="Q6" s="24">
        <v>0</v>
      </c>
      <c r="R6" s="24">
        <v>0</v>
      </c>
      <c r="S6" s="24" t="s">
        <v>1436</v>
      </c>
      <c r="T6" s="24">
        <v>0</v>
      </c>
      <c r="U6" s="24" t="s">
        <v>1442</v>
      </c>
      <c r="V6" s="24" t="s">
        <v>1437</v>
      </c>
    </row>
    <row r="7" spans="1:22" ht="14.45">
      <c r="A7" s="24" t="s">
        <v>1428</v>
      </c>
      <c r="B7" s="24"/>
      <c r="C7" s="24">
        <v>5048</v>
      </c>
      <c r="D7" s="24" t="s">
        <v>1254</v>
      </c>
      <c r="E7" s="24" t="s">
        <v>1429</v>
      </c>
      <c r="F7" s="24" t="s">
        <v>1443</v>
      </c>
      <c r="G7" s="24" t="s">
        <v>1431</v>
      </c>
      <c r="H7" s="24" t="s">
        <v>1432</v>
      </c>
      <c r="I7" s="24" t="s">
        <v>30</v>
      </c>
      <c r="J7" s="24" t="s">
        <v>1442</v>
      </c>
      <c r="K7" s="24" t="s">
        <v>1434</v>
      </c>
      <c r="L7" s="24" t="s">
        <v>1435</v>
      </c>
      <c r="M7" s="24" t="s">
        <v>1428</v>
      </c>
      <c r="N7" s="24" t="s">
        <v>1428</v>
      </c>
      <c r="O7" s="24"/>
      <c r="P7" s="24">
        <v>0</v>
      </c>
      <c r="Q7" s="24">
        <v>430</v>
      </c>
      <c r="R7" s="24">
        <v>430</v>
      </c>
      <c r="S7" s="24" t="s">
        <v>1436</v>
      </c>
      <c r="T7" s="24">
        <v>0</v>
      </c>
      <c r="U7" s="24"/>
      <c r="V7" s="24" t="s">
        <v>1437</v>
      </c>
    </row>
    <row r="8" spans="1:22" ht="14.45">
      <c r="A8" s="24" t="s">
        <v>1428</v>
      </c>
      <c r="B8" s="24" t="s">
        <v>1444</v>
      </c>
      <c r="C8" s="24">
        <v>5049</v>
      </c>
      <c r="D8" s="24" t="s">
        <v>1255</v>
      </c>
      <c r="E8" s="24" t="s">
        <v>1429</v>
      </c>
      <c r="F8" s="24" t="s">
        <v>1445</v>
      </c>
      <c r="G8" s="24" t="s">
        <v>1431</v>
      </c>
      <c r="H8" s="24" t="s">
        <v>1446</v>
      </c>
      <c r="I8" s="24" t="s">
        <v>30</v>
      </c>
      <c r="J8" s="24" t="s">
        <v>1433</v>
      </c>
      <c r="K8" s="24" t="s">
        <v>1434</v>
      </c>
      <c r="L8" s="24" t="s">
        <v>1435</v>
      </c>
      <c r="M8" s="24" t="s">
        <v>1428</v>
      </c>
      <c r="N8" s="24"/>
      <c r="O8" s="24"/>
      <c r="P8" s="24">
        <v>0</v>
      </c>
      <c r="Q8" s="24">
        <v>412.2</v>
      </c>
      <c r="R8" s="24">
        <v>412.2</v>
      </c>
      <c r="S8" s="24" t="s">
        <v>1436</v>
      </c>
      <c r="T8" s="24">
        <v>0</v>
      </c>
      <c r="U8" s="24" t="s">
        <v>1433</v>
      </c>
      <c r="V8" s="24" t="s">
        <v>1437</v>
      </c>
    </row>
    <row r="9" spans="1:22" ht="14.45">
      <c r="A9" s="24" t="s">
        <v>1428</v>
      </c>
      <c r="B9" s="24" t="s">
        <v>1447</v>
      </c>
      <c r="C9" s="24">
        <v>5050</v>
      </c>
      <c r="D9" s="24" t="s">
        <v>1256</v>
      </c>
      <c r="E9" s="24" t="s">
        <v>1429</v>
      </c>
      <c r="F9" s="24" t="s">
        <v>1448</v>
      </c>
      <c r="G9" s="24" t="s">
        <v>1431</v>
      </c>
      <c r="H9" s="24" t="s">
        <v>1449</v>
      </c>
      <c r="I9" s="24" t="s">
        <v>30</v>
      </c>
      <c r="J9" s="24" t="s">
        <v>1433</v>
      </c>
      <c r="K9" s="24" t="s">
        <v>1434</v>
      </c>
      <c r="L9" s="24" t="s">
        <v>1435</v>
      </c>
      <c r="M9" s="24" t="s">
        <v>1428</v>
      </c>
      <c r="N9" s="24"/>
      <c r="O9" s="24"/>
      <c r="P9" s="24">
        <v>0</v>
      </c>
      <c r="Q9" s="25">
        <v>7350</v>
      </c>
      <c r="R9" s="25">
        <v>7350</v>
      </c>
      <c r="S9" s="24" t="s">
        <v>1436</v>
      </c>
      <c r="T9" s="24">
        <v>0</v>
      </c>
      <c r="U9" s="24" t="s">
        <v>1433</v>
      </c>
      <c r="V9" s="24" t="s">
        <v>1437</v>
      </c>
    </row>
    <row r="10" spans="1:22" ht="14.45">
      <c r="A10" s="24" t="s">
        <v>1428</v>
      </c>
      <c r="B10" s="24" t="s">
        <v>1450</v>
      </c>
      <c r="C10" s="24">
        <v>5051</v>
      </c>
      <c r="D10" s="24" t="s">
        <v>1257</v>
      </c>
      <c r="E10" s="24" t="s">
        <v>1429</v>
      </c>
      <c r="F10" s="24" t="s">
        <v>1451</v>
      </c>
      <c r="G10" s="24" t="s">
        <v>1431</v>
      </c>
      <c r="H10" s="24" t="s">
        <v>1446</v>
      </c>
      <c r="I10" s="24" t="s">
        <v>30</v>
      </c>
      <c r="J10" s="24" t="s">
        <v>1433</v>
      </c>
      <c r="K10" s="24" t="s">
        <v>1434</v>
      </c>
      <c r="L10" s="24" t="s">
        <v>1435</v>
      </c>
      <c r="M10" s="24" t="s">
        <v>1428</v>
      </c>
      <c r="N10" s="24"/>
      <c r="O10" s="24"/>
      <c r="P10" s="24">
        <v>0</v>
      </c>
      <c r="Q10" s="25">
        <v>1014.9</v>
      </c>
      <c r="R10" s="25">
        <v>1014.9</v>
      </c>
      <c r="S10" s="24" t="s">
        <v>1436</v>
      </c>
      <c r="T10" s="24">
        <v>0</v>
      </c>
      <c r="U10" s="24" t="s">
        <v>1433</v>
      </c>
      <c r="V10" s="24" t="s">
        <v>1437</v>
      </c>
    </row>
    <row r="11" spans="1:22" ht="14.45">
      <c r="A11" s="24" t="s">
        <v>1428</v>
      </c>
      <c r="B11" s="24" t="s">
        <v>1452</v>
      </c>
      <c r="C11" s="24">
        <v>5052</v>
      </c>
      <c r="D11" s="24" t="s">
        <v>1258</v>
      </c>
      <c r="E11" s="24" t="s">
        <v>1429</v>
      </c>
      <c r="F11" s="24" t="s">
        <v>1453</v>
      </c>
      <c r="G11" s="24" t="s">
        <v>1431</v>
      </c>
      <c r="H11" s="24" t="s">
        <v>1446</v>
      </c>
      <c r="I11" s="24" t="s">
        <v>30</v>
      </c>
      <c r="J11" s="24" t="s">
        <v>1433</v>
      </c>
      <c r="K11" s="24" t="s">
        <v>1434</v>
      </c>
      <c r="L11" s="24" t="s">
        <v>1435</v>
      </c>
      <c r="M11" s="24" t="s">
        <v>1428</v>
      </c>
      <c r="N11" s="24"/>
      <c r="O11" s="24"/>
      <c r="P11" s="24">
        <v>0</v>
      </c>
      <c r="Q11" s="25">
        <v>1326.5</v>
      </c>
      <c r="R11" s="25">
        <v>1326.5</v>
      </c>
      <c r="S11" s="24" t="s">
        <v>1436</v>
      </c>
      <c r="T11" s="24">
        <v>0</v>
      </c>
      <c r="U11" s="24" t="s">
        <v>1433</v>
      </c>
      <c r="V11" s="24" t="s">
        <v>1437</v>
      </c>
    </row>
    <row r="12" spans="1:22" ht="14.45">
      <c r="A12" s="24" t="s">
        <v>1428</v>
      </c>
      <c r="B12" s="24"/>
      <c r="C12" s="24">
        <v>5053</v>
      </c>
      <c r="D12" s="24" t="s">
        <v>26</v>
      </c>
      <c r="E12" s="24" t="s">
        <v>1429</v>
      </c>
      <c r="F12" s="24" t="s">
        <v>29</v>
      </c>
      <c r="G12" s="24" t="s">
        <v>1431</v>
      </c>
      <c r="H12" s="24" t="s">
        <v>1432</v>
      </c>
      <c r="I12" s="24" t="s">
        <v>30</v>
      </c>
      <c r="J12" s="24" t="s">
        <v>1433</v>
      </c>
      <c r="K12" s="24" t="s">
        <v>1434</v>
      </c>
      <c r="L12" s="24" t="s">
        <v>1435</v>
      </c>
      <c r="M12" s="24" t="s">
        <v>1428</v>
      </c>
      <c r="N12" s="24"/>
      <c r="O12" s="24"/>
      <c r="P12" s="25">
        <v>1684.96</v>
      </c>
      <c r="Q12" s="25">
        <v>28825.72</v>
      </c>
      <c r="R12" s="25">
        <v>28689.72</v>
      </c>
      <c r="S12" s="24" t="s">
        <v>1436</v>
      </c>
      <c r="T12" s="24">
        <v>0</v>
      </c>
      <c r="U12" s="24" t="s">
        <v>1433</v>
      </c>
      <c r="V12" s="24" t="s">
        <v>1437</v>
      </c>
    </row>
    <row r="13" spans="1:22" ht="14.45">
      <c r="A13" s="24" t="s">
        <v>1428</v>
      </c>
      <c r="B13" s="24" t="s">
        <v>1454</v>
      </c>
      <c r="C13" s="24">
        <v>5054</v>
      </c>
      <c r="D13" s="24" t="s">
        <v>1259</v>
      </c>
      <c r="E13" s="24" t="s">
        <v>1429</v>
      </c>
      <c r="F13" s="24" t="s">
        <v>1455</v>
      </c>
      <c r="G13" s="24" t="s">
        <v>1431</v>
      </c>
      <c r="H13" s="24" t="s">
        <v>1456</v>
      </c>
      <c r="I13" s="24" t="s">
        <v>30</v>
      </c>
      <c r="J13" s="24" t="s">
        <v>1433</v>
      </c>
      <c r="K13" s="24" t="s">
        <v>1434</v>
      </c>
      <c r="L13" s="24" t="s">
        <v>1435</v>
      </c>
      <c r="M13" s="24" t="s">
        <v>1428</v>
      </c>
      <c r="N13" s="24"/>
      <c r="O13" s="24"/>
      <c r="P13" s="24">
        <v>192</v>
      </c>
      <c r="Q13" s="25">
        <v>4279.25</v>
      </c>
      <c r="R13" s="25">
        <v>4279.25</v>
      </c>
      <c r="S13" s="24" t="s">
        <v>1436</v>
      </c>
      <c r="T13" s="24">
        <v>0</v>
      </c>
      <c r="U13" s="24" t="s">
        <v>1433</v>
      </c>
      <c r="V13" s="24" t="s">
        <v>1437</v>
      </c>
    </row>
    <row r="14" spans="1:22" ht="14.45">
      <c r="A14" s="24" t="s">
        <v>1428</v>
      </c>
      <c r="B14" s="24" t="s">
        <v>1457</v>
      </c>
      <c r="C14" s="24">
        <v>5055</v>
      </c>
      <c r="D14" s="24" t="s">
        <v>1260</v>
      </c>
      <c r="E14" s="24" t="s">
        <v>1429</v>
      </c>
      <c r="F14" s="24" t="s">
        <v>1458</v>
      </c>
      <c r="G14" s="24" t="s">
        <v>1431</v>
      </c>
      <c r="H14" s="24" t="s">
        <v>1456</v>
      </c>
      <c r="I14" s="24" t="s">
        <v>30</v>
      </c>
      <c r="J14" s="24" t="s">
        <v>1433</v>
      </c>
      <c r="K14" s="24" t="s">
        <v>1434</v>
      </c>
      <c r="L14" s="24" t="s">
        <v>1435</v>
      </c>
      <c r="M14" s="24" t="s">
        <v>1428</v>
      </c>
      <c r="N14" s="24"/>
      <c r="O14" s="24"/>
      <c r="P14" s="25">
        <v>3598.37</v>
      </c>
      <c r="Q14" s="25">
        <v>7491.25</v>
      </c>
      <c r="R14" s="25">
        <v>7471.75</v>
      </c>
      <c r="S14" s="24" t="s">
        <v>1436</v>
      </c>
      <c r="T14" s="24">
        <v>0</v>
      </c>
      <c r="U14" s="24" t="s">
        <v>1433</v>
      </c>
      <c r="V14" s="24" t="s">
        <v>1437</v>
      </c>
    </row>
    <row r="15" spans="1:22" ht="14.45">
      <c r="A15" s="24" t="s">
        <v>1428</v>
      </c>
      <c r="B15" s="24"/>
      <c r="C15" s="24">
        <v>5056</v>
      </c>
      <c r="D15" s="24" t="s">
        <v>1261</v>
      </c>
      <c r="E15" s="24" t="s">
        <v>1429</v>
      </c>
      <c r="F15" s="24" t="s">
        <v>1459</v>
      </c>
      <c r="G15" s="24" t="s">
        <v>1431</v>
      </c>
      <c r="H15" s="24" t="s">
        <v>1432</v>
      </c>
      <c r="I15" s="24" t="s">
        <v>30</v>
      </c>
      <c r="J15" s="24" t="s">
        <v>1433</v>
      </c>
      <c r="K15" s="24" t="s">
        <v>1434</v>
      </c>
      <c r="L15" s="24" t="s">
        <v>1435</v>
      </c>
      <c r="M15" s="24" t="s">
        <v>1428</v>
      </c>
      <c r="N15" s="24"/>
      <c r="O15" s="24"/>
      <c r="P15" s="24">
        <v>0</v>
      </c>
      <c r="Q15" s="25">
        <v>5475.45</v>
      </c>
      <c r="R15" s="25">
        <v>5462.45</v>
      </c>
      <c r="S15" s="24" t="s">
        <v>1436</v>
      </c>
      <c r="T15" s="24">
        <v>0</v>
      </c>
      <c r="U15" s="24" t="s">
        <v>1433</v>
      </c>
      <c r="V15" s="24" t="s">
        <v>1437</v>
      </c>
    </row>
    <row r="16" spans="1:22" ht="14.45">
      <c r="A16" s="24" t="s">
        <v>1428</v>
      </c>
      <c r="B16" s="24"/>
      <c r="C16" s="24">
        <v>5057</v>
      </c>
      <c r="D16" s="24" t="s">
        <v>1262</v>
      </c>
      <c r="E16" s="24" t="s">
        <v>1429</v>
      </c>
      <c r="F16" s="24" t="s">
        <v>1460</v>
      </c>
      <c r="G16" s="24" t="s">
        <v>1431</v>
      </c>
      <c r="H16" s="24" t="s">
        <v>1432</v>
      </c>
      <c r="I16" s="24" t="s">
        <v>30</v>
      </c>
      <c r="J16" s="24" t="s">
        <v>1442</v>
      </c>
      <c r="K16" s="24" t="s">
        <v>1434</v>
      </c>
      <c r="L16" s="24" t="s">
        <v>1435</v>
      </c>
      <c r="M16" s="24" t="s">
        <v>1428</v>
      </c>
      <c r="N16" s="24"/>
      <c r="O16" s="24"/>
      <c r="P16" s="24">
        <v>0</v>
      </c>
      <c r="Q16" s="25">
        <v>17579.599999999999</v>
      </c>
      <c r="R16" s="25">
        <v>17579.599999999999</v>
      </c>
      <c r="S16" s="24" t="s">
        <v>1436</v>
      </c>
      <c r="T16" s="24">
        <v>0</v>
      </c>
      <c r="U16" s="24" t="s">
        <v>1442</v>
      </c>
      <c r="V16" s="24" t="s">
        <v>1437</v>
      </c>
    </row>
    <row r="17" spans="1:22" ht="14.45">
      <c r="A17" s="24" t="s">
        <v>1428</v>
      </c>
      <c r="B17" s="24"/>
      <c r="C17" s="24">
        <v>5058</v>
      </c>
      <c r="D17" s="24" t="s">
        <v>1263</v>
      </c>
      <c r="E17" s="24" t="s">
        <v>1429</v>
      </c>
      <c r="F17" s="24" t="s">
        <v>1461</v>
      </c>
      <c r="G17" s="24" t="s">
        <v>1431</v>
      </c>
      <c r="H17" s="24" t="s">
        <v>1432</v>
      </c>
      <c r="I17" s="24" t="s">
        <v>30</v>
      </c>
      <c r="J17" s="24" t="s">
        <v>1433</v>
      </c>
      <c r="K17" s="24" t="s">
        <v>1434</v>
      </c>
      <c r="L17" s="24" t="s">
        <v>1435</v>
      </c>
      <c r="M17" s="24" t="s">
        <v>1428</v>
      </c>
      <c r="N17" s="24"/>
      <c r="O17" s="24"/>
      <c r="P17" s="24">
        <v>0</v>
      </c>
      <c r="Q17" s="25">
        <v>5696.95</v>
      </c>
      <c r="R17" s="25">
        <v>5573.95</v>
      </c>
      <c r="S17" s="24" t="s">
        <v>1436</v>
      </c>
      <c r="T17" s="24">
        <v>0</v>
      </c>
      <c r="U17" s="24" t="s">
        <v>1433</v>
      </c>
      <c r="V17" s="24" t="s">
        <v>1437</v>
      </c>
    </row>
    <row r="18" spans="1:22" ht="14.45">
      <c r="A18" s="24" t="s">
        <v>1428</v>
      </c>
      <c r="B18" s="24"/>
      <c r="C18" s="24">
        <v>5059</v>
      </c>
      <c r="D18" s="24" t="s">
        <v>39</v>
      </c>
      <c r="E18" s="24" t="s">
        <v>1429</v>
      </c>
      <c r="F18" s="24" t="s">
        <v>1462</v>
      </c>
      <c r="G18" s="24" t="s">
        <v>1431</v>
      </c>
      <c r="H18" s="24" t="s">
        <v>1432</v>
      </c>
      <c r="I18" s="24" t="s">
        <v>30</v>
      </c>
      <c r="J18" s="24" t="s">
        <v>1433</v>
      </c>
      <c r="K18" s="24" t="s">
        <v>1434</v>
      </c>
      <c r="L18" s="24" t="s">
        <v>1435</v>
      </c>
      <c r="M18" s="24" t="s">
        <v>1428</v>
      </c>
      <c r="N18" s="24"/>
      <c r="O18" s="24"/>
      <c r="P18" s="24">
        <v>24</v>
      </c>
      <c r="Q18" s="24" t="s">
        <v>1428</v>
      </c>
      <c r="R18" s="24" t="s">
        <v>1428</v>
      </c>
      <c r="S18" s="24" t="s">
        <v>1436</v>
      </c>
      <c r="T18" s="24">
        <v>0</v>
      </c>
      <c r="U18" s="24" t="s">
        <v>1433</v>
      </c>
      <c r="V18" s="24" t="s">
        <v>1437</v>
      </c>
    </row>
    <row r="19" spans="1:22" ht="14.45">
      <c r="A19" s="24" t="s">
        <v>1428</v>
      </c>
      <c r="B19" s="24"/>
      <c r="C19" s="24">
        <v>5060</v>
      </c>
      <c r="D19" s="24" t="s">
        <v>1264</v>
      </c>
      <c r="E19" s="24" t="s">
        <v>1429</v>
      </c>
      <c r="F19" s="24" t="s">
        <v>1463</v>
      </c>
      <c r="G19" s="24" t="s">
        <v>1431</v>
      </c>
      <c r="H19" s="24" t="s">
        <v>1432</v>
      </c>
      <c r="I19" s="24" t="s">
        <v>30</v>
      </c>
      <c r="J19" s="24" t="s">
        <v>1442</v>
      </c>
      <c r="K19" s="24" t="s">
        <v>1434</v>
      </c>
      <c r="L19" s="24" t="s">
        <v>1435</v>
      </c>
      <c r="M19" s="24" t="s">
        <v>1428</v>
      </c>
      <c r="N19" s="24"/>
      <c r="O19" s="24"/>
      <c r="P19" s="24">
        <v>0</v>
      </c>
      <c r="Q19" s="25">
        <v>5830.5</v>
      </c>
      <c r="R19" s="25">
        <v>5830.5</v>
      </c>
      <c r="S19" s="24" t="s">
        <v>1436</v>
      </c>
      <c r="T19" s="24">
        <v>0</v>
      </c>
      <c r="U19" s="24" t="s">
        <v>1442</v>
      </c>
      <c r="V19" s="24" t="s">
        <v>1437</v>
      </c>
    </row>
    <row r="20" spans="1:22" ht="14.45">
      <c r="A20" s="24" t="s">
        <v>1428</v>
      </c>
      <c r="B20" s="24"/>
      <c r="C20" s="24">
        <v>5061</v>
      </c>
      <c r="D20" s="24" t="s">
        <v>1265</v>
      </c>
      <c r="E20" s="24" t="s">
        <v>1429</v>
      </c>
      <c r="F20" s="24" t="s">
        <v>1464</v>
      </c>
      <c r="G20" s="24" t="s">
        <v>1431</v>
      </c>
      <c r="H20" s="24" t="s">
        <v>1432</v>
      </c>
      <c r="I20" s="24" t="s">
        <v>30</v>
      </c>
      <c r="J20" s="24" t="s">
        <v>1433</v>
      </c>
      <c r="K20" s="24" t="s">
        <v>1434</v>
      </c>
      <c r="L20" s="24" t="s">
        <v>1435</v>
      </c>
      <c r="M20" s="24" t="s">
        <v>1428</v>
      </c>
      <c r="N20" s="24"/>
      <c r="O20" s="24"/>
      <c r="P20" s="24">
        <v>2</v>
      </c>
      <c r="Q20" s="25">
        <v>1576.75</v>
      </c>
      <c r="R20" s="25">
        <v>1539.25</v>
      </c>
      <c r="S20" s="24" t="s">
        <v>1436</v>
      </c>
      <c r="T20" s="24">
        <v>0</v>
      </c>
      <c r="U20" s="24" t="s">
        <v>1433</v>
      </c>
      <c r="V20" s="24" t="s">
        <v>1437</v>
      </c>
    </row>
    <row r="21" spans="1:22" ht="14.45">
      <c r="A21" s="24" t="s">
        <v>1428</v>
      </c>
      <c r="B21" s="24"/>
      <c r="C21" s="24">
        <v>5062</v>
      </c>
      <c r="D21" s="24" t="s">
        <v>1266</v>
      </c>
      <c r="E21" s="24" t="s">
        <v>1429</v>
      </c>
      <c r="F21" s="24" t="s">
        <v>1465</v>
      </c>
      <c r="G21" s="24" t="s">
        <v>1431</v>
      </c>
      <c r="H21" s="24" t="s">
        <v>1432</v>
      </c>
      <c r="I21" s="24" t="s">
        <v>30</v>
      </c>
      <c r="J21" s="24" t="s">
        <v>1433</v>
      </c>
      <c r="K21" s="24" t="s">
        <v>1434</v>
      </c>
      <c r="L21" s="24" t="s">
        <v>1435</v>
      </c>
      <c r="M21" s="24" t="s">
        <v>1428</v>
      </c>
      <c r="N21" s="24"/>
      <c r="O21" s="24"/>
      <c r="P21" s="24">
        <v>10</v>
      </c>
      <c r="Q21" s="24">
        <v>929</v>
      </c>
      <c r="R21" s="24">
        <v>929</v>
      </c>
      <c r="S21" s="24" t="s">
        <v>1436</v>
      </c>
      <c r="T21" s="24">
        <v>0</v>
      </c>
      <c r="U21" s="24" t="s">
        <v>1433</v>
      </c>
      <c r="V21" s="24" t="s">
        <v>1437</v>
      </c>
    </row>
    <row r="22" spans="1:22" ht="14.45">
      <c r="A22" s="24" t="s">
        <v>1428</v>
      </c>
      <c r="B22" s="24"/>
      <c r="C22" s="24">
        <v>5063</v>
      </c>
      <c r="D22" s="24" t="s">
        <v>1267</v>
      </c>
      <c r="E22" s="24" t="s">
        <v>1429</v>
      </c>
      <c r="F22" s="24" t="s">
        <v>1466</v>
      </c>
      <c r="G22" s="24" t="s">
        <v>1431</v>
      </c>
      <c r="H22" s="24" t="s">
        <v>1432</v>
      </c>
      <c r="I22" s="24" t="s">
        <v>30</v>
      </c>
      <c r="J22" s="24" t="s">
        <v>1433</v>
      </c>
      <c r="K22" s="24" t="s">
        <v>1434</v>
      </c>
      <c r="L22" s="24" t="s">
        <v>1435</v>
      </c>
      <c r="M22" s="24" t="s">
        <v>1428</v>
      </c>
      <c r="N22" s="24"/>
      <c r="O22" s="24"/>
      <c r="P22" s="24">
        <v>0</v>
      </c>
      <c r="Q22" s="25">
        <v>15674.05</v>
      </c>
      <c r="R22" s="25">
        <v>15659.05</v>
      </c>
      <c r="S22" s="24" t="s">
        <v>1436</v>
      </c>
      <c r="T22" s="24">
        <v>0</v>
      </c>
      <c r="U22" s="24" t="s">
        <v>1433</v>
      </c>
      <c r="V22" s="24" t="s">
        <v>1437</v>
      </c>
    </row>
    <row r="23" spans="1:22" ht="14.45">
      <c r="A23" s="24" t="s">
        <v>1428</v>
      </c>
      <c r="B23" s="24"/>
      <c r="C23" s="24">
        <v>5064</v>
      </c>
      <c r="D23" s="24" t="s">
        <v>42</v>
      </c>
      <c r="E23" s="24" t="s">
        <v>1429</v>
      </c>
      <c r="F23" s="24" t="s">
        <v>1467</v>
      </c>
      <c r="G23" s="24" t="s">
        <v>1431</v>
      </c>
      <c r="H23" s="24" t="s">
        <v>1432</v>
      </c>
      <c r="I23" s="24" t="s">
        <v>30</v>
      </c>
      <c r="J23" s="24" t="s">
        <v>1433</v>
      </c>
      <c r="K23" s="24" t="s">
        <v>1434</v>
      </c>
      <c r="L23" s="24" t="s">
        <v>1435</v>
      </c>
      <c r="M23" s="24" t="s">
        <v>1428</v>
      </c>
      <c r="N23" s="24"/>
      <c r="O23" s="24"/>
      <c r="P23" s="25">
        <v>6444</v>
      </c>
      <c r="Q23" s="24" t="s">
        <v>1428</v>
      </c>
      <c r="R23" s="24" t="s">
        <v>1428</v>
      </c>
      <c r="S23" s="24" t="s">
        <v>1436</v>
      </c>
      <c r="T23" s="24">
        <v>100</v>
      </c>
      <c r="U23" s="24" t="s">
        <v>1433</v>
      </c>
      <c r="V23" s="24" t="s">
        <v>1437</v>
      </c>
    </row>
    <row r="24" spans="1:22" ht="14.45">
      <c r="A24" s="24" t="s">
        <v>1428</v>
      </c>
      <c r="B24" s="24"/>
      <c r="C24" s="24">
        <v>5065</v>
      </c>
      <c r="D24" s="24" t="s">
        <v>1268</v>
      </c>
      <c r="E24" s="24" t="s">
        <v>1429</v>
      </c>
      <c r="F24" s="24" t="s">
        <v>1468</v>
      </c>
      <c r="G24" s="24" t="s">
        <v>1431</v>
      </c>
      <c r="H24" s="24" t="s">
        <v>1432</v>
      </c>
      <c r="I24" s="24" t="s">
        <v>30</v>
      </c>
      <c r="J24" s="24" t="s">
        <v>1433</v>
      </c>
      <c r="K24" s="24" t="s">
        <v>1434</v>
      </c>
      <c r="L24" s="24" t="s">
        <v>1435</v>
      </c>
      <c r="M24" s="24" t="s">
        <v>1428</v>
      </c>
      <c r="N24" s="24"/>
      <c r="O24" s="24"/>
      <c r="P24" s="24">
        <v>422.4</v>
      </c>
      <c r="Q24" s="24" t="s">
        <v>1428</v>
      </c>
      <c r="R24" s="24" t="s">
        <v>1428</v>
      </c>
      <c r="S24" s="24" t="s">
        <v>1436</v>
      </c>
      <c r="T24" s="24">
        <v>0</v>
      </c>
      <c r="U24" s="24" t="s">
        <v>1433</v>
      </c>
      <c r="V24" s="24" t="s">
        <v>1437</v>
      </c>
    </row>
    <row r="25" spans="1:22" ht="14.45">
      <c r="A25" s="24" t="s">
        <v>1428</v>
      </c>
      <c r="B25" s="24"/>
      <c r="C25" s="24">
        <v>5066</v>
      </c>
      <c r="D25" s="24" t="s">
        <v>1469</v>
      </c>
      <c r="E25" s="24" t="s">
        <v>1429</v>
      </c>
      <c r="F25" s="24" t="s">
        <v>1470</v>
      </c>
      <c r="G25" s="24" t="s">
        <v>1431</v>
      </c>
      <c r="H25" s="24" t="s">
        <v>1432</v>
      </c>
      <c r="I25" s="24" t="s">
        <v>30</v>
      </c>
      <c r="J25" s="24" t="s">
        <v>1433</v>
      </c>
      <c r="K25" s="24" t="s">
        <v>1434</v>
      </c>
      <c r="L25" s="24" t="s">
        <v>1435</v>
      </c>
      <c r="M25" s="24" t="s">
        <v>1428</v>
      </c>
      <c r="N25" s="24"/>
      <c r="O25" s="24"/>
      <c r="P25" s="24">
        <v>0</v>
      </c>
      <c r="Q25" s="25">
        <v>4513.6000000000004</v>
      </c>
      <c r="R25" s="25">
        <v>4511.6000000000004</v>
      </c>
      <c r="S25" s="24" t="s">
        <v>1436</v>
      </c>
      <c r="T25" s="24">
        <v>0</v>
      </c>
      <c r="U25" s="24" t="s">
        <v>1433</v>
      </c>
      <c r="V25" s="24" t="s">
        <v>1437</v>
      </c>
    </row>
    <row r="26" spans="1:22" ht="14.45">
      <c r="A26" s="24" t="s">
        <v>1428</v>
      </c>
      <c r="B26" s="24" t="s">
        <v>1471</v>
      </c>
      <c r="C26" s="24">
        <v>5067</v>
      </c>
      <c r="D26" s="24" t="s">
        <v>1472</v>
      </c>
      <c r="E26" s="24" t="s">
        <v>1429</v>
      </c>
      <c r="F26" s="24" t="s">
        <v>1473</v>
      </c>
      <c r="G26" s="24" t="s">
        <v>1431</v>
      </c>
      <c r="H26" s="24" t="s">
        <v>1432</v>
      </c>
      <c r="I26" s="24" t="s">
        <v>30</v>
      </c>
      <c r="J26" s="24" t="s">
        <v>1433</v>
      </c>
      <c r="K26" s="24" t="s">
        <v>1434</v>
      </c>
      <c r="L26" s="24" t="s">
        <v>1435</v>
      </c>
      <c r="M26" s="24" t="s">
        <v>1428</v>
      </c>
      <c r="N26" s="24"/>
      <c r="O26" s="24"/>
      <c r="P26" s="24">
        <v>0</v>
      </c>
      <c r="Q26" s="24">
        <v>526</v>
      </c>
      <c r="R26" s="24">
        <v>526</v>
      </c>
      <c r="S26" s="24" t="s">
        <v>1436</v>
      </c>
      <c r="T26" s="24">
        <v>0</v>
      </c>
      <c r="U26" s="24" t="s">
        <v>1433</v>
      </c>
      <c r="V26" s="24" t="s">
        <v>1437</v>
      </c>
    </row>
    <row r="27" spans="1:22" ht="14.45">
      <c r="A27" s="24" t="s">
        <v>1428</v>
      </c>
      <c r="B27" s="24"/>
      <c r="C27" s="24">
        <v>5068</v>
      </c>
      <c r="D27" s="24" t="s">
        <v>1269</v>
      </c>
      <c r="E27" s="24" t="s">
        <v>1429</v>
      </c>
      <c r="F27" s="24" t="s">
        <v>1474</v>
      </c>
      <c r="G27" s="24" t="s">
        <v>1431</v>
      </c>
      <c r="H27" s="24" t="s">
        <v>1456</v>
      </c>
      <c r="I27" s="24" t="s">
        <v>30</v>
      </c>
      <c r="J27" s="24" t="s">
        <v>1442</v>
      </c>
      <c r="K27" s="24" t="s">
        <v>1434</v>
      </c>
      <c r="L27" s="24" t="s">
        <v>1435</v>
      </c>
      <c r="M27" s="24" t="s">
        <v>1428</v>
      </c>
      <c r="N27" s="24"/>
      <c r="O27" s="24"/>
      <c r="P27" s="24">
        <v>0</v>
      </c>
      <c r="Q27" s="25">
        <v>2579.75</v>
      </c>
      <c r="R27" s="25">
        <v>2579.75</v>
      </c>
      <c r="S27" s="24" t="s">
        <v>1436</v>
      </c>
      <c r="T27" s="24">
        <v>0</v>
      </c>
      <c r="U27" s="24"/>
      <c r="V27" s="24" t="s">
        <v>1437</v>
      </c>
    </row>
    <row r="28" spans="1:22" ht="14.45">
      <c r="A28" s="24" t="s">
        <v>1428</v>
      </c>
      <c r="B28" s="24"/>
      <c r="C28" s="24">
        <v>5069</v>
      </c>
      <c r="D28" s="24" t="s">
        <v>1270</v>
      </c>
      <c r="E28" s="24" t="s">
        <v>1429</v>
      </c>
      <c r="F28" s="24" t="s">
        <v>1475</v>
      </c>
      <c r="G28" s="24" t="s">
        <v>1431</v>
      </c>
      <c r="H28" s="24" t="s">
        <v>1476</v>
      </c>
      <c r="I28" s="24" t="s">
        <v>30</v>
      </c>
      <c r="J28" s="24" t="s">
        <v>1442</v>
      </c>
      <c r="K28" s="24" t="s">
        <v>1434</v>
      </c>
      <c r="L28" s="24" t="s">
        <v>1435</v>
      </c>
      <c r="M28" s="24" t="s">
        <v>1428</v>
      </c>
      <c r="N28" s="24"/>
      <c r="O28" s="24"/>
      <c r="P28" s="24">
        <v>18</v>
      </c>
      <c r="Q28" s="25">
        <v>1607.5</v>
      </c>
      <c r="R28" s="25">
        <v>1578</v>
      </c>
      <c r="S28" s="24" t="s">
        <v>1436</v>
      </c>
      <c r="T28" s="24">
        <v>0</v>
      </c>
      <c r="U28" s="24"/>
      <c r="V28" s="24" t="s">
        <v>1437</v>
      </c>
    </row>
    <row r="29" spans="1:22" ht="14.45">
      <c r="A29" s="24" t="s">
        <v>1428</v>
      </c>
      <c r="B29" s="24" t="s">
        <v>1477</v>
      </c>
      <c r="C29" s="24">
        <v>5986</v>
      </c>
      <c r="D29" s="24" t="s">
        <v>1403</v>
      </c>
      <c r="E29" s="24" t="s">
        <v>1429</v>
      </c>
      <c r="F29" s="24" t="s">
        <v>1478</v>
      </c>
      <c r="G29" s="24" t="s">
        <v>1431</v>
      </c>
      <c r="H29" s="24" t="s">
        <v>1479</v>
      </c>
      <c r="I29" s="24" t="s">
        <v>30</v>
      </c>
      <c r="J29" s="24" t="s">
        <v>1433</v>
      </c>
      <c r="K29" s="24" t="s">
        <v>1434</v>
      </c>
      <c r="L29" s="24" t="s">
        <v>1435</v>
      </c>
      <c r="M29" s="24" t="s">
        <v>1428</v>
      </c>
      <c r="N29" s="24"/>
      <c r="O29" s="24"/>
      <c r="P29" s="24">
        <v>65.040000000000006</v>
      </c>
      <c r="Q29" s="25">
        <v>1869.5</v>
      </c>
      <c r="R29" s="25">
        <v>1869.5</v>
      </c>
      <c r="S29" s="24" t="s">
        <v>1436</v>
      </c>
      <c r="T29" s="24">
        <v>0</v>
      </c>
      <c r="U29" s="24" t="s">
        <v>1433</v>
      </c>
      <c r="V29" s="24" t="s">
        <v>1437</v>
      </c>
    </row>
    <row r="30" spans="1:22" ht="14.45">
      <c r="A30" s="24" t="s">
        <v>1428</v>
      </c>
      <c r="B30" s="24"/>
      <c r="C30" s="24">
        <v>6102</v>
      </c>
      <c r="D30" s="24" t="s">
        <v>102</v>
      </c>
      <c r="E30" s="24" t="s">
        <v>1429</v>
      </c>
      <c r="F30" s="24" t="s">
        <v>1480</v>
      </c>
      <c r="G30" s="24" t="s">
        <v>1431</v>
      </c>
      <c r="H30" s="24" t="s">
        <v>1432</v>
      </c>
      <c r="I30" s="24" t="s">
        <v>30</v>
      </c>
      <c r="J30" s="24" t="s">
        <v>1433</v>
      </c>
      <c r="K30" s="24" t="s">
        <v>1434</v>
      </c>
      <c r="L30" s="24" t="s">
        <v>1435</v>
      </c>
      <c r="M30" s="24" t="s">
        <v>1428</v>
      </c>
      <c r="N30" s="24"/>
      <c r="O30" s="24"/>
      <c r="P30" s="25">
        <v>3339.12</v>
      </c>
      <c r="Q30" s="25">
        <v>78793.070000000007</v>
      </c>
      <c r="R30" s="25">
        <v>78542.570000000007</v>
      </c>
      <c r="S30" s="24"/>
      <c r="T30" s="24">
        <v>0</v>
      </c>
      <c r="U30" s="24" t="s">
        <v>1433</v>
      </c>
      <c r="V30" s="24" t="s">
        <v>1437</v>
      </c>
    </row>
    <row r="31" spans="1:22" ht="14.45">
      <c r="A31" s="24" t="s">
        <v>1428</v>
      </c>
      <c r="B31" s="24"/>
      <c r="C31" s="24">
        <v>7830</v>
      </c>
      <c r="D31" s="24" t="s">
        <v>917</v>
      </c>
      <c r="E31" s="24" t="s">
        <v>1429</v>
      </c>
      <c r="F31" s="24" t="s">
        <v>1481</v>
      </c>
      <c r="G31" s="24" t="s">
        <v>1431</v>
      </c>
      <c r="H31" s="24" t="s">
        <v>1482</v>
      </c>
      <c r="I31" s="24" t="s">
        <v>30</v>
      </c>
      <c r="J31" s="24" t="s">
        <v>1442</v>
      </c>
      <c r="K31" s="24" t="s">
        <v>1434</v>
      </c>
      <c r="L31" s="24" t="s">
        <v>1435</v>
      </c>
      <c r="M31" s="24" t="s">
        <v>1428</v>
      </c>
      <c r="N31" s="24"/>
      <c r="O31" s="24"/>
      <c r="P31" s="24">
        <v>0</v>
      </c>
      <c r="Q31" s="24">
        <v>36.25</v>
      </c>
      <c r="R31" s="24">
        <v>36.25</v>
      </c>
      <c r="S31" s="24" t="s">
        <v>1436</v>
      </c>
      <c r="T31" s="24">
        <v>0</v>
      </c>
      <c r="U31" s="24"/>
      <c r="V31" s="24" t="s">
        <v>1437</v>
      </c>
    </row>
    <row r="32" spans="1:22" ht="14.45">
      <c r="A32" s="24" t="s">
        <v>1428</v>
      </c>
      <c r="B32" s="24" t="s">
        <v>1483</v>
      </c>
      <c r="C32" s="24">
        <v>10757</v>
      </c>
      <c r="D32" s="24" t="s">
        <v>1484</v>
      </c>
      <c r="E32" s="24" t="s">
        <v>1429</v>
      </c>
      <c r="F32" s="24" t="s">
        <v>1485</v>
      </c>
      <c r="G32" s="24" t="s">
        <v>1431</v>
      </c>
      <c r="H32" s="24" t="s">
        <v>1476</v>
      </c>
      <c r="I32" s="24" t="s">
        <v>30</v>
      </c>
      <c r="J32" s="24" t="s">
        <v>1433</v>
      </c>
      <c r="K32" s="24" t="s">
        <v>1434</v>
      </c>
      <c r="L32" s="24" t="s">
        <v>1435</v>
      </c>
      <c r="M32" s="26">
        <v>44927</v>
      </c>
      <c r="N32" s="24"/>
      <c r="O32" s="24"/>
      <c r="P32" s="25">
        <v>1591.92</v>
      </c>
      <c r="Q32" s="25">
        <v>1126</v>
      </c>
      <c r="R32" s="25">
        <v>1126</v>
      </c>
      <c r="S32" s="24" t="s">
        <v>1436</v>
      </c>
      <c r="T32" s="24">
        <v>0</v>
      </c>
      <c r="U32" s="24" t="s">
        <v>1433</v>
      </c>
      <c r="V32" s="24" t="s">
        <v>1437</v>
      </c>
    </row>
    <row r="33" spans="1:22" ht="14.45">
      <c r="A33" s="24" t="s">
        <v>1428</v>
      </c>
      <c r="B33" s="24"/>
      <c r="C33" s="24">
        <v>11228</v>
      </c>
      <c r="D33" s="24" t="s">
        <v>1486</v>
      </c>
      <c r="E33" s="24" t="s">
        <v>1429</v>
      </c>
      <c r="F33" s="24" t="s">
        <v>1487</v>
      </c>
      <c r="G33" s="24" t="s">
        <v>1431</v>
      </c>
      <c r="H33" s="24" t="s">
        <v>1488</v>
      </c>
      <c r="I33" s="24" t="s">
        <v>30</v>
      </c>
      <c r="J33" s="24" t="s">
        <v>1442</v>
      </c>
      <c r="K33" s="24" t="s">
        <v>1434</v>
      </c>
      <c r="L33" s="24" t="s">
        <v>1435</v>
      </c>
      <c r="M33" s="26">
        <v>44927</v>
      </c>
      <c r="N33" s="24"/>
      <c r="O33" s="24"/>
      <c r="P33" s="24">
        <v>154.08000000000001</v>
      </c>
      <c r="Q33" s="24">
        <v>54</v>
      </c>
      <c r="R33" s="24">
        <v>54</v>
      </c>
      <c r="S33" s="24" t="s">
        <v>1436</v>
      </c>
      <c r="T33" s="24">
        <v>0</v>
      </c>
      <c r="U33" s="24"/>
      <c r="V33" s="24" t="s">
        <v>1437</v>
      </c>
    </row>
    <row r="34" spans="1:22" ht="14.45">
      <c r="A34" s="24" t="s">
        <v>1428</v>
      </c>
      <c r="B34" s="24" t="s">
        <v>1489</v>
      </c>
      <c r="C34" s="24">
        <v>11243</v>
      </c>
      <c r="D34" s="24" t="s">
        <v>1490</v>
      </c>
      <c r="E34" s="24" t="s">
        <v>1429</v>
      </c>
      <c r="F34" s="24" t="s">
        <v>1491</v>
      </c>
      <c r="G34" s="24" t="s">
        <v>1431</v>
      </c>
      <c r="H34" s="24" t="s">
        <v>1479</v>
      </c>
      <c r="I34" s="24" t="s">
        <v>30</v>
      </c>
      <c r="J34" s="24" t="s">
        <v>1442</v>
      </c>
      <c r="K34" s="24" t="s">
        <v>1434</v>
      </c>
      <c r="L34" s="24" t="s">
        <v>1435</v>
      </c>
      <c r="M34" s="26">
        <v>44927</v>
      </c>
      <c r="N34" s="24" t="s">
        <v>1428</v>
      </c>
      <c r="O34" s="24"/>
      <c r="P34" s="24">
        <v>203.6</v>
      </c>
      <c r="Q34" s="24">
        <v>567.9</v>
      </c>
      <c r="R34" s="24">
        <v>567.9</v>
      </c>
      <c r="S34" s="24" t="s">
        <v>1436</v>
      </c>
      <c r="T34" s="24">
        <v>46</v>
      </c>
      <c r="U34" s="24"/>
      <c r="V34" s="24" t="s">
        <v>1437</v>
      </c>
    </row>
    <row r="35" spans="1:22" ht="14.45">
      <c r="A35" s="24" t="s">
        <v>1428</v>
      </c>
      <c r="B35" s="24" t="s">
        <v>1492</v>
      </c>
      <c r="C35" s="24">
        <v>14993</v>
      </c>
      <c r="D35" s="24" t="s">
        <v>1493</v>
      </c>
      <c r="E35" s="24" t="s">
        <v>1429</v>
      </c>
      <c r="F35" s="24" t="s">
        <v>1494</v>
      </c>
      <c r="G35" s="24" t="s">
        <v>1431</v>
      </c>
      <c r="H35" s="24" t="s">
        <v>1495</v>
      </c>
      <c r="I35" s="24" t="s">
        <v>30</v>
      </c>
      <c r="J35" s="24" t="s">
        <v>1442</v>
      </c>
      <c r="K35" s="24" t="s">
        <v>1434</v>
      </c>
      <c r="L35" s="24" t="s">
        <v>1435</v>
      </c>
      <c r="M35" s="26">
        <v>44986</v>
      </c>
      <c r="N35" s="24"/>
      <c r="O35" s="24"/>
      <c r="P35" s="24">
        <v>0</v>
      </c>
      <c r="Q35" s="24">
        <v>160.5</v>
      </c>
      <c r="R35" s="24">
        <v>160.5</v>
      </c>
      <c r="S35" s="24" t="s">
        <v>1436</v>
      </c>
      <c r="T35" s="24">
        <v>0</v>
      </c>
      <c r="U35" s="24"/>
      <c r="V35" s="24" t="s">
        <v>1437</v>
      </c>
    </row>
    <row r="36" spans="1:22" ht="14.45">
      <c r="A36" s="26">
        <v>45022</v>
      </c>
      <c r="B36" s="24" t="s">
        <v>1496</v>
      </c>
      <c r="C36" s="24">
        <v>15318</v>
      </c>
      <c r="D36" s="24" t="s">
        <v>1497</v>
      </c>
      <c r="E36" s="24" t="s">
        <v>1429</v>
      </c>
      <c r="F36" s="24" t="s">
        <v>1498</v>
      </c>
      <c r="G36" s="24" t="s">
        <v>1431</v>
      </c>
      <c r="H36" s="24" t="s">
        <v>1499</v>
      </c>
      <c r="I36" s="24" t="s">
        <v>30</v>
      </c>
      <c r="J36" s="24" t="s">
        <v>1433</v>
      </c>
      <c r="K36" s="24" t="s">
        <v>1434</v>
      </c>
      <c r="L36" s="24" t="s">
        <v>1435</v>
      </c>
      <c r="M36" s="26">
        <v>45019</v>
      </c>
      <c r="N36" s="24"/>
      <c r="O36" s="24"/>
      <c r="P36" s="25">
        <v>1989.2</v>
      </c>
      <c r="Q36" s="25">
        <v>1191.5</v>
      </c>
      <c r="R36" s="25">
        <v>1191.5</v>
      </c>
      <c r="S36" s="24" t="s">
        <v>1436</v>
      </c>
      <c r="T36" s="24">
        <v>77</v>
      </c>
      <c r="U36" s="24" t="s">
        <v>1433</v>
      </c>
      <c r="V36" s="24" t="s">
        <v>1437</v>
      </c>
    </row>
    <row r="37" spans="1:22" ht="14.45">
      <c r="A37" s="24" t="s">
        <v>1428</v>
      </c>
      <c r="B37" s="24"/>
      <c r="C37" s="24">
        <v>16257</v>
      </c>
      <c r="D37" s="24" t="s">
        <v>1500</v>
      </c>
      <c r="E37" s="24" t="s">
        <v>1429</v>
      </c>
      <c r="F37" s="24" t="s">
        <v>1501</v>
      </c>
      <c r="G37" s="24" t="s">
        <v>1431</v>
      </c>
      <c r="H37" s="24" t="s">
        <v>1502</v>
      </c>
      <c r="I37" s="24" t="s">
        <v>30</v>
      </c>
      <c r="J37" s="24" t="s">
        <v>1442</v>
      </c>
      <c r="K37" s="24" t="s">
        <v>1434</v>
      </c>
      <c r="L37" s="24" t="s">
        <v>1435</v>
      </c>
      <c r="M37" s="24" t="s">
        <v>1428</v>
      </c>
      <c r="N37" s="24" t="s">
        <v>1428</v>
      </c>
      <c r="O37" s="24"/>
      <c r="P37" s="24">
        <v>0</v>
      </c>
      <c r="Q37" s="24">
        <v>240</v>
      </c>
      <c r="R37" s="24">
        <v>240</v>
      </c>
      <c r="S37" s="24" t="s">
        <v>1436</v>
      </c>
      <c r="T37" s="24">
        <v>0</v>
      </c>
      <c r="U37" s="24"/>
      <c r="V37" s="24" t="s">
        <v>1437</v>
      </c>
    </row>
    <row r="38" spans="1:22" ht="14.45">
      <c r="A38" s="24" t="s">
        <v>1428</v>
      </c>
      <c r="B38" s="24"/>
      <c r="C38" s="24">
        <v>16676</v>
      </c>
      <c r="D38" s="24" t="s">
        <v>1503</v>
      </c>
      <c r="E38" s="24" t="s">
        <v>1429</v>
      </c>
      <c r="F38" s="24" t="s">
        <v>1504</v>
      </c>
      <c r="G38" s="24" t="s">
        <v>1431</v>
      </c>
      <c r="H38" s="24" t="s">
        <v>1505</v>
      </c>
      <c r="I38" s="24" t="s">
        <v>30</v>
      </c>
      <c r="J38" s="24" t="s">
        <v>1442</v>
      </c>
      <c r="K38" s="24" t="s">
        <v>1434</v>
      </c>
      <c r="L38" s="24" t="s">
        <v>1435</v>
      </c>
      <c r="M38" s="24" t="s">
        <v>1428</v>
      </c>
      <c r="N38" s="24" t="s">
        <v>1428</v>
      </c>
      <c r="O38" s="24"/>
      <c r="P38" s="25">
        <v>1050.4000000000001</v>
      </c>
      <c r="Q38" s="24">
        <v>697</v>
      </c>
      <c r="R38" s="24">
        <v>697</v>
      </c>
      <c r="S38" s="24" t="s">
        <v>1436</v>
      </c>
      <c r="T38" s="24">
        <v>0</v>
      </c>
      <c r="U38" s="24"/>
      <c r="V38" s="24" t="s">
        <v>1437</v>
      </c>
    </row>
    <row r="39" spans="1:22" ht="14.45">
      <c r="A39" s="24" t="s">
        <v>1428</v>
      </c>
      <c r="B39" s="24"/>
      <c r="C39" s="24">
        <v>16997</v>
      </c>
      <c r="D39" s="24" t="s">
        <v>1506</v>
      </c>
      <c r="E39" s="24" t="s">
        <v>1429</v>
      </c>
      <c r="F39" s="24" t="s">
        <v>1507</v>
      </c>
      <c r="G39" s="24" t="s">
        <v>1431</v>
      </c>
      <c r="H39" s="24" t="s">
        <v>1508</v>
      </c>
      <c r="I39" s="24" t="s">
        <v>30</v>
      </c>
      <c r="J39" s="24" t="s">
        <v>1442</v>
      </c>
      <c r="K39" s="24" t="s">
        <v>1434</v>
      </c>
      <c r="L39" s="24" t="s">
        <v>1435</v>
      </c>
      <c r="M39" s="26">
        <v>45047</v>
      </c>
      <c r="N39" s="24" t="s">
        <v>1428</v>
      </c>
      <c r="O39" s="24"/>
      <c r="P39" s="24">
        <v>436</v>
      </c>
      <c r="Q39" s="25">
        <v>1368.5</v>
      </c>
      <c r="R39" s="25">
        <v>1368.5</v>
      </c>
      <c r="S39" s="24" t="s">
        <v>1436</v>
      </c>
      <c r="T39" s="24">
        <v>0</v>
      </c>
      <c r="U39" s="24"/>
      <c r="V39" s="24" t="s">
        <v>1437</v>
      </c>
    </row>
    <row r="40" spans="1:22" ht="14.45">
      <c r="A40" s="26">
        <v>45051</v>
      </c>
      <c r="B40" s="24" t="s">
        <v>1509</v>
      </c>
      <c r="C40" s="24">
        <v>17223</v>
      </c>
      <c r="D40" s="24" t="s">
        <v>1510</v>
      </c>
      <c r="E40" s="24" t="s">
        <v>1429</v>
      </c>
      <c r="F40" s="24" t="s">
        <v>1511</v>
      </c>
      <c r="G40" s="24" t="s">
        <v>1431</v>
      </c>
      <c r="H40" s="24" t="s">
        <v>1512</v>
      </c>
      <c r="I40" s="24" t="s">
        <v>30</v>
      </c>
      <c r="J40" s="24" t="s">
        <v>1433</v>
      </c>
      <c r="K40" s="24" t="s">
        <v>1434</v>
      </c>
      <c r="L40" s="24" t="s">
        <v>1435</v>
      </c>
      <c r="M40" s="24" t="s">
        <v>1428</v>
      </c>
      <c r="N40" s="24"/>
      <c r="O40" s="24"/>
      <c r="P40" s="25">
        <v>12398.96</v>
      </c>
      <c r="Q40" s="25">
        <v>10029.4</v>
      </c>
      <c r="R40" s="25">
        <v>10029.4</v>
      </c>
      <c r="S40" s="24" t="s">
        <v>1436</v>
      </c>
      <c r="T40" s="24">
        <v>0</v>
      </c>
      <c r="U40" s="24" t="s">
        <v>1433</v>
      </c>
      <c r="V40" s="24" t="s">
        <v>1437</v>
      </c>
    </row>
    <row r="41" spans="1:22" ht="14.45">
      <c r="A41" s="24" t="s">
        <v>1428</v>
      </c>
      <c r="B41" s="24"/>
      <c r="C41" s="24">
        <v>17474</v>
      </c>
      <c r="D41" s="24" t="s">
        <v>1513</v>
      </c>
      <c r="E41" s="24" t="s">
        <v>1429</v>
      </c>
      <c r="F41" s="24" t="s">
        <v>1514</v>
      </c>
      <c r="G41" s="24" t="s">
        <v>1431</v>
      </c>
      <c r="H41" s="24" t="s">
        <v>1512</v>
      </c>
      <c r="I41" s="24" t="s">
        <v>30</v>
      </c>
      <c r="J41" s="24" t="s">
        <v>1442</v>
      </c>
      <c r="K41" s="24" t="s">
        <v>1434</v>
      </c>
      <c r="L41" s="24" t="s">
        <v>1435</v>
      </c>
      <c r="M41" s="24" t="s">
        <v>1428</v>
      </c>
      <c r="N41" s="24" t="s">
        <v>1428</v>
      </c>
      <c r="O41" s="24"/>
      <c r="P41" s="24">
        <v>0</v>
      </c>
      <c r="Q41" s="24">
        <v>416</v>
      </c>
      <c r="R41" s="24">
        <v>416</v>
      </c>
      <c r="S41" s="24" t="s">
        <v>1436</v>
      </c>
      <c r="T41" s="24">
        <v>0</v>
      </c>
      <c r="U41" s="24"/>
      <c r="V41" s="24" t="s">
        <v>1437</v>
      </c>
    </row>
    <row r="42" spans="1:22" ht="14.45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5">
        <v>50559.61</v>
      </c>
      <c r="Q42" s="24" t="s">
        <v>1428</v>
      </c>
      <c r="R42" s="24" t="s">
        <v>1428</v>
      </c>
      <c r="S42" s="24"/>
      <c r="T42" s="24"/>
      <c r="U42" s="24"/>
      <c r="V42" s="24"/>
    </row>
    <row r="43" spans="1:22" ht="14.45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 t="s">
        <v>1515</v>
      </c>
      <c r="M43" s="24"/>
      <c r="N43" s="24"/>
      <c r="O43" s="24"/>
      <c r="P43" s="24"/>
      <c r="Q43" s="24"/>
      <c r="R43" s="24"/>
      <c r="S43" s="24"/>
      <c r="T43" s="24"/>
      <c r="U43" s="24"/>
      <c r="V43" s="24"/>
    </row>
    <row r="44" spans="1:22" ht="14.45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 t="s">
        <v>1435</v>
      </c>
      <c r="M44" s="24"/>
      <c r="N44" s="24"/>
      <c r="O44" s="24"/>
      <c r="P44" s="24"/>
      <c r="Q44" s="24"/>
      <c r="R44" s="24"/>
      <c r="S44" s="24"/>
      <c r="T44" s="24"/>
      <c r="U44" s="24"/>
      <c r="V44" s="24"/>
    </row>
    <row r="45" spans="1:22" ht="14.4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 t="s">
        <v>1516</v>
      </c>
      <c r="M45" s="24"/>
      <c r="N45" s="24"/>
      <c r="O45" s="24"/>
      <c r="P45" s="24"/>
      <c r="Q45" s="24"/>
      <c r="R45" s="24"/>
      <c r="S45" s="24"/>
      <c r="T45" s="24"/>
      <c r="U45" s="24"/>
      <c r="V45" s="24"/>
    </row>
  </sheetData>
  <autoFilter ref="A1:V45" xr:uid="{30116690-7E88-40BC-9475-D506B3D91B51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4EB80-972E-4228-975E-FD7CB3AF8A30}">
  <sheetPr codeName="Sheet5"/>
  <dimension ref="A1:E11"/>
  <sheetViews>
    <sheetView workbookViewId="0">
      <selection activeCell="G9" sqref="G9"/>
    </sheetView>
  </sheetViews>
  <sheetFormatPr defaultColWidth="9.140625" defaultRowHeight="13.15"/>
  <cols>
    <col min="5" max="5" width="19.42578125" bestFit="1" customWidth="1"/>
  </cols>
  <sheetData>
    <row r="1" spans="1:5">
      <c r="A1" s="20" t="s">
        <v>1186</v>
      </c>
      <c r="B1" s="20"/>
      <c r="C1" s="20"/>
      <c r="D1" s="20"/>
      <c r="E1" s="20" t="s">
        <v>1517</v>
      </c>
    </row>
    <row r="2" spans="1:5">
      <c r="A2" t="s">
        <v>33</v>
      </c>
      <c r="E2" t="s">
        <v>1518</v>
      </c>
    </row>
    <row r="3" spans="1:5">
      <c r="A3" t="s">
        <v>71</v>
      </c>
      <c r="E3" t="s">
        <v>36</v>
      </c>
    </row>
    <row r="4" spans="1:5">
      <c r="E4" s="19" t="s">
        <v>467</v>
      </c>
    </row>
    <row r="5" spans="1:5">
      <c r="E5" s="19" t="s">
        <v>1519</v>
      </c>
    </row>
    <row r="6" spans="1:5">
      <c r="E6" s="19" t="s">
        <v>57</v>
      </c>
    </row>
    <row r="7" spans="1:5">
      <c r="E7" s="19" t="s">
        <v>391</v>
      </c>
    </row>
    <row r="8" spans="1:5">
      <c r="E8" s="19" t="s">
        <v>299</v>
      </c>
    </row>
    <row r="9" spans="1:5">
      <c r="E9" s="19" t="s">
        <v>508</v>
      </c>
    </row>
    <row r="10" spans="1:5">
      <c r="E10" s="19" t="s">
        <v>335</v>
      </c>
    </row>
    <row r="11" spans="1:5">
      <c r="E11" s="19" t="s">
        <v>423</v>
      </c>
    </row>
  </sheetData>
  <hyperlinks>
    <hyperlink ref="E4" r:id="rId1" xr:uid="{84F8C076-1AE9-44A6-B28D-7AF075EC0650}"/>
    <hyperlink ref="E5" r:id="rId2" xr:uid="{AD7E9A5A-D555-4D10-9274-6CB29942AB83}"/>
    <hyperlink ref="E7" r:id="rId3" xr:uid="{493B9A71-18B7-47AC-81DB-142C5520BD1B}"/>
    <hyperlink ref="E8" r:id="rId4" xr:uid="{3FBFEC25-B354-4ED1-B775-091C65B42B12}"/>
    <hyperlink ref="E9" r:id="rId5" display="JuanFernando.Garcia" xr:uid="{AE47D08A-D690-4CF8-8137-863B808BA9C4}"/>
    <hyperlink ref="E10" r:id="rId6" xr:uid="{9DD5350D-07E7-4A5D-8EC7-6DF142CF899E}"/>
    <hyperlink ref="E11" r:id="rId7" display="Manuel.Castellanos" xr:uid="{52C2DB1C-FF33-4B19-8833-8DD8FDEB1652}"/>
    <hyperlink ref="E6" r:id="rId8" xr:uid="{CD9DE40A-12E1-4F2B-919D-F054F4A68406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EB8D2-B382-4781-9C99-BC1678F0AF88}">
  <sheetPr codeName="Sheet6"/>
  <dimension ref="A1:B71"/>
  <sheetViews>
    <sheetView topLeftCell="A4" workbookViewId="0">
      <selection activeCell="A4" sqref="A4"/>
    </sheetView>
  </sheetViews>
  <sheetFormatPr defaultColWidth="8.85546875" defaultRowHeight="13.15"/>
  <cols>
    <col min="1" max="1" width="69.42578125" bestFit="1" customWidth="1"/>
    <col min="2" max="2" width="22" bestFit="1" customWidth="1"/>
    <col min="3" max="3" width="18.28515625" bestFit="1" customWidth="1"/>
    <col min="4" max="4" width="16.28515625" bestFit="1" customWidth="1"/>
    <col min="5" max="5" width="11.42578125" bestFit="1" customWidth="1"/>
    <col min="6" max="6" width="11.7109375" bestFit="1" customWidth="1"/>
    <col min="7" max="7" width="15.28515625" bestFit="1" customWidth="1"/>
    <col min="8" max="8" width="14.28515625" bestFit="1" customWidth="1"/>
    <col min="9" max="9" width="14.85546875" bestFit="1" customWidth="1"/>
    <col min="10" max="10" width="4.85546875" bestFit="1" customWidth="1"/>
    <col min="11" max="11" width="7.28515625" bestFit="1" customWidth="1"/>
    <col min="12" max="12" width="11.42578125" bestFit="1" customWidth="1"/>
  </cols>
  <sheetData>
    <row r="1" spans="1:2">
      <c r="A1" s="41" t="s">
        <v>5</v>
      </c>
      <c r="B1" t="s">
        <v>1520</v>
      </c>
    </row>
    <row r="2" spans="1:2">
      <c r="A2" s="41" t="s">
        <v>8</v>
      </c>
      <c r="B2" t="s">
        <v>33</v>
      </c>
    </row>
    <row r="4" spans="1:2">
      <c r="A4" s="41" t="s">
        <v>7</v>
      </c>
      <c r="B4" s="41" t="s">
        <v>11</v>
      </c>
    </row>
    <row r="5" spans="1:2">
      <c r="A5" t="s">
        <v>154</v>
      </c>
    </row>
    <row r="6" spans="1:2">
      <c r="A6" t="s">
        <v>154</v>
      </c>
      <c r="B6" t="s">
        <v>156</v>
      </c>
    </row>
    <row r="8" spans="1:2">
      <c r="A8" t="s">
        <v>178</v>
      </c>
    </row>
    <row r="9" spans="1:2">
      <c r="A9" t="s">
        <v>178</v>
      </c>
      <c r="B9" t="s">
        <v>73</v>
      </c>
    </row>
    <row r="11" spans="1:2">
      <c r="A11" t="s">
        <v>811</v>
      </c>
    </row>
    <row r="12" spans="1:2">
      <c r="A12" t="s">
        <v>811</v>
      </c>
      <c r="B12" t="s">
        <v>134</v>
      </c>
    </row>
    <row r="14" spans="1:2">
      <c r="A14" t="s">
        <v>185</v>
      </c>
    </row>
    <row r="15" spans="1:2">
      <c r="A15" t="s">
        <v>185</v>
      </c>
      <c r="B15" t="s">
        <v>124</v>
      </c>
    </row>
    <row r="17" spans="1:2">
      <c r="A17" t="s">
        <v>1057</v>
      </c>
    </row>
    <row r="18" spans="1:2">
      <c r="A18" t="s">
        <v>1057</v>
      </c>
      <c r="B18" t="s">
        <v>134</v>
      </c>
    </row>
    <row r="20" spans="1:2">
      <c r="A20" t="s">
        <v>1160</v>
      </c>
    </row>
    <row r="21" spans="1:2">
      <c r="A21" t="s">
        <v>1160</v>
      </c>
      <c r="B21" t="s">
        <v>282</v>
      </c>
    </row>
    <row r="23" spans="1:2">
      <c r="A23" t="s">
        <v>1155</v>
      </c>
    </row>
    <row r="24" spans="1:2">
      <c r="A24" t="s">
        <v>1155</v>
      </c>
      <c r="B24" t="s">
        <v>124</v>
      </c>
    </row>
    <row r="26" spans="1:2">
      <c r="A26" t="s">
        <v>239</v>
      </c>
    </row>
    <row r="27" spans="1:2">
      <c r="A27" t="s">
        <v>239</v>
      </c>
      <c r="B27" t="s">
        <v>315</v>
      </c>
    </row>
    <row r="29" spans="1:2">
      <c r="A29" t="s">
        <v>1133</v>
      </c>
    </row>
    <row r="30" spans="1:2">
      <c r="A30" t="s">
        <v>1133</v>
      </c>
      <c r="B30" t="s">
        <v>124</v>
      </c>
    </row>
    <row r="32" spans="1:2">
      <c r="A32" t="s">
        <v>420</v>
      </c>
    </row>
    <row r="33" spans="1:2">
      <c r="A33" t="s">
        <v>420</v>
      </c>
      <c r="B33" t="s">
        <v>315</v>
      </c>
    </row>
    <row r="35" spans="1:2">
      <c r="A35" t="s">
        <v>591</v>
      </c>
    </row>
    <row r="36" spans="1:2">
      <c r="A36" t="s">
        <v>591</v>
      </c>
      <c r="B36" t="s">
        <v>53</v>
      </c>
    </row>
    <row r="38" spans="1:2">
      <c r="A38" t="s">
        <v>1080</v>
      </c>
    </row>
    <row r="39" spans="1:2">
      <c r="A39" t="s">
        <v>1080</v>
      </c>
      <c r="B39" t="s">
        <v>156</v>
      </c>
    </row>
    <row r="41" spans="1:2">
      <c r="A41" t="s">
        <v>304</v>
      </c>
    </row>
    <row r="42" spans="1:2">
      <c r="A42" t="s">
        <v>304</v>
      </c>
      <c r="B42" t="s">
        <v>124</v>
      </c>
    </row>
    <row r="44" spans="1:2">
      <c r="A44" t="s">
        <v>1093</v>
      </c>
    </row>
    <row r="45" spans="1:2">
      <c r="A45" t="s">
        <v>1093</v>
      </c>
      <c r="B45" t="s">
        <v>124</v>
      </c>
    </row>
    <row r="47" spans="1:2">
      <c r="A47" t="s">
        <v>1147</v>
      </c>
    </row>
    <row r="48" spans="1:2">
      <c r="A48" t="s">
        <v>1147</v>
      </c>
      <c r="B48" t="s">
        <v>53</v>
      </c>
    </row>
    <row r="50" spans="1:2">
      <c r="A50" t="s">
        <v>332</v>
      </c>
    </row>
    <row r="51" spans="1:2">
      <c r="A51" t="s">
        <v>332</v>
      </c>
      <c r="B51" t="s">
        <v>53</v>
      </c>
    </row>
    <row r="53" spans="1:2">
      <c r="A53" t="s">
        <v>786</v>
      </c>
    </row>
    <row r="54" spans="1:2">
      <c r="A54" t="s">
        <v>786</v>
      </c>
      <c r="B54" t="s">
        <v>53</v>
      </c>
    </row>
    <row r="56" spans="1:2">
      <c r="A56" t="s">
        <v>1116</v>
      </c>
    </row>
    <row r="57" spans="1:2">
      <c r="A57" t="s">
        <v>1116</v>
      </c>
      <c r="B57" t="s">
        <v>134</v>
      </c>
    </row>
    <row r="59" spans="1:2">
      <c r="A59" t="s">
        <v>1177</v>
      </c>
    </row>
    <row r="60" spans="1:2">
      <c r="A60" t="s">
        <v>1177</v>
      </c>
      <c r="B60" t="s">
        <v>358</v>
      </c>
    </row>
    <row r="62" spans="1:2">
      <c r="A62" t="s">
        <v>62</v>
      </c>
    </row>
    <row r="63" spans="1:2">
      <c r="A63" t="s">
        <v>62</v>
      </c>
      <c r="B63" t="s">
        <v>53</v>
      </c>
    </row>
    <row r="65" spans="1:2">
      <c r="A65" t="s">
        <v>625</v>
      </c>
    </row>
    <row r="66" spans="1:2">
      <c r="A66" t="s">
        <v>625</v>
      </c>
      <c r="B66" t="s">
        <v>34</v>
      </c>
    </row>
    <row r="68" spans="1:2">
      <c r="A68" t="s">
        <v>1042</v>
      </c>
    </row>
    <row r="69" spans="1:2">
      <c r="A69" t="s">
        <v>1042</v>
      </c>
      <c r="B69" t="s">
        <v>53</v>
      </c>
    </row>
    <row r="71" spans="1:2">
      <c r="A71" t="s">
        <v>1521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B9E46-0B2B-41C8-8756-AA33F275EBB2}">
  <sheetPr codeName="Sheet8">
    <outlinePr summaryBelow="0" summaryRight="0"/>
  </sheetPr>
  <dimension ref="A1:Y281"/>
  <sheetViews>
    <sheetView workbookViewId="0">
      <selection activeCell="C131" sqref="C131"/>
    </sheetView>
  </sheetViews>
  <sheetFormatPr defaultColWidth="8.85546875" defaultRowHeight="12.75" customHeight="1"/>
  <cols>
    <col min="1" max="1" width="14.7109375" style="22" customWidth="1"/>
    <col min="2" max="2" width="18.28515625" style="4" customWidth="1"/>
    <col min="3" max="3" width="72.85546875" style="4" customWidth="1"/>
    <col min="4" max="4" width="35.7109375" style="4" customWidth="1"/>
    <col min="5" max="5" width="23.85546875" style="4" customWidth="1"/>
    <col min="6" max="6" width="11.42578125" style="4" customWidth="1"/>
    <col min="7" max="7" width="14.85546875" style="4" customWidth="1"/>
    <col min="8" max="8" width="38.42578125" style="12" customWidth="1"/>
    <col min="9" max="9" width="12.7109375" style="4" customWidth="1"/>
    <col min="10" max="10" width="30.7109375" style="4" bestFit="1" customWidth="1"/>
    <col min="11" max="11" width="36.42578125" style="4" bestFit="1" customWidth="1"/>
    <col min="12" max="12" width="23.7109375" style="4" bestFit="1" customWidth="1"/>
    <col min="13" max="13" width="19.140625" style="4" bestFit="1" customWidth="1"/>
    <col min="14" max="14" width="18.7109375" style="4" bestFit="1" customWidth="1"/>
    <col min="15" max="15" width="22.85546875" style="4" bestFit="1" customWidth="1"/>
    <col min="16" max="16" width="19.140625" style="4" customWidth="1"/>
    <col min="17" max="17" width="19.140625" style="4" bestFit="1" customWidth="1"/>
    <col min="18" max="18" width="21.28515625" style="22" customWidth="1"/>
    <col min="19" max="19" width="22.28515625" style="4" customWidth="1"/>
    <col min="20" max="320" width="8.85546875" style="4" customWidth="1"/>
    <col min="321" max="16384" width="8.85546875" style="4"/>
  </cols>
  <sheetData>
    <row r="1" spans="1:25" ht="26.45">
      <c r="A1" s="2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1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1522</v>
      </c>
    </row>
    <row r="2" spans="1:25" ht="26.45">
      <c r="A2" s="23" t="s">
        <v>26</v>
      </c>
      <c r="B2" s="5" t="s">
        <v>27</v>
      </c>
      <c r="C2" s="11" t="s">
        <v>28</v>
      </c>
      <c r="D2" s="5" t="s">
        <v>29</v>
      </c>
      <c r="E2" s="5" t="s">
        <v>30</v>
      </c>
      <c r="F2" s="42" t="s">
        <v>31</v>
      </c>
      <c r="G2" s="5" t="s">
        <v>32</v>
      </c>
      <c r="H2" s="11" t="str">
        <f>_xlfn.IFNA(VLOOKUP(F2,clientes!A:B,2,FALSE()),"--")</f>
        <v>Blend360</v>
      </c>
      <c r="I2" s="5" t="s">
        <v>33</v>
      </c>
      <c r="J2" s="11" t="s">
        <v>34</v>
      </c>
      <c r="K2" s="5" t="s">
        <v>34</v>
      </c>
      <c r="L2" s="4" t="s">
        <v>34</v>
      </c>
      <c r="M2" s="4" t="s">
        <v>34</v>
      </c>
      <c r="N2" s="4" t="s">
        <v>34</v>
      </c>
      <c r="O2" s="4" t="s">
        <v>34</v>
      </c>
      <c r="P2" s="11" t="s">
        <v>35</v>
      </c>
      <c r="Q2" s="11" t="s">
        <v>36</v>
      </c>
      <c r="R2" s="22">
        <v>5045</v>
      </c>
      <c r="S2" s="10" t="s">
        <v>37</v>
      </c>
    </row>
    <row r="3" spans="1:25" ht="13.15">
      <c r="A3" s="23" t="s">
        <v>39</v>
      </c>
      <c r="B3" s="5" t="s">
        <v>40</v>
      </c>
      <c r="C3" s="11" t="str">
        <f t="shared" ref="C3:C33" si="0">F3&amp;" - "&amp;D3&amp;" - "&amp;E3</f>
        <v>BLD - Meetings &amp; Training - Internal</v>
      </c>
      <c r="D3" s="5" t="s">
        <v>41</v>
      </c>
      <c r="E3" s="5" t="s">
        <v>30</v>
      </c>
      <c r="F3" s="42" t="s">
        <v>31</v>
      </c>
      <c r="G3" s="5" t="s">
        <v>32</v>
      </c>
      <c r="H3" s="11" t="str">
        <f>_xlfn.IFNA(VLOOKUP(F3,clientes!A:B,2,FALSE()),"--")</f>
        <v>Blend360</v>
      </c>
      <c r="I3" s="5" t="s">
        <v>33</v>
      </c>
      <c r="J3" s="11" t="s">
        <v>34</v>
      </c>
      <c r="K3" s="5" t="s">
        <v>34</v>
      </c>
      <c r="L3" s="4" t="s">
        <v>34</v>
      </c>
      <c r="M3" s="4" t="s">
        <v>34</v>
      </c>
      <c r="N3" s="4" t="s">
        <v>34</v>
      </c>
      <c r="O3" s="4" t="s">
        <v>34</v>
      </c>
      <c r="P3" s="11" t="s">
        <v>35</v>
      </c>
      <c r="Q3" s="11" t="s">
        <v>36</v>
      </c>
      <c r="R3" s="22">
        <v>5045</v>
      </c>
      <c r="S3" s="10" t="s">
        <v>37</v>
      </c>
    </row>
    <row r="4" spans="1:25" ht="13.15">
      <c r="A4" s="22" t="s">
        <v>42</v>
      </c>
      <c r="B4" s="5" t="s">
        <v>43</v>
      </c>
      <c r="C4" s="11" t="str">
        <f t="shared" si="0"/>
        <v>BLD - Time Off &amp; Holiday - Internal</v>
      </c>
      <c r="D4" s="5" t="s">
        <v>44</v>
      </c>
      <c r="E4" s="5" t="s">
        <v>30</v>
      </c>
      <c r="F4" s="42" t="s">
        <v>31</v>
      </c>
      <c r="G4" s="5" t="s">
        <v>32</v>
      </c>
      <c r="H4" s="11" t="str">
        <f>_xlfn.IFNA(VLOOKUP(F4,clientes!A:B,2,FALSE()),"--")</f>
        <v>Blend360</v>
      </c>
      <c r="I4" s="5" t="s">
        <v>33</v>
      </c>
      <c r="J4" s="11" t="s">
        <v>34</v>
      </c>
      <c r="K4" s="5" t="s">
        <v>34</v>
      </c>
      <c r="L4" s="4" t="s">
        <v>34</v>
      </c>
      <c r="M4" s="4" t="s">
        <v>34</v>
      </c>
      <c r="N4" s="4" t="s">
        <v>34</v>
      </c>
      <c r="O4" s="4" t="s">
        <v>34</v>
      </c>
      <c r="P4" s="11" t="s">
        <v>35</v>
      </c>
      <c r="Q4" s="11" t="s">
        <v>36</v>
      </c>
      <c r="R4" s="22">
        <v>5045</v>
      </c>
      <c r="S4" s="10" t="s">
        <v>37</v>
      </c>
    </row>
    <row r="5" spans="1:25" ht="28.9" customHeight="1">
      <c r="A5" s="23" t="s">
        <v>45</v>
      </c>
      <c r="B5" s="5" t="s">
        <v>46</v>
      </c>
      <c r="C5" s="11" t="str">
        <f t="shared" si="0"/>
        <v>BTG - SmartCash - Operación - Ret SW</v>
      </c>
      <c r="D5" s="5" t="s">
        <v>47</v>
      </c>
      <c r="E5" s="5" t="s">
        <v>48</v>
      </c>
      <c r="F5" s="5" t="s">
        <v>49</v>
      </c>
      <c r="G5" s="5" t="s">
        <v>50</v>
      </c>
      <c r="H5" s="11" t="str">
        <f>_xlfn.IFNA(VLOOKUP(F5,clientes!A:B,2,FALSE()),"--")</f>
        <v>BTG Pactual Colombia</v>
      </c>
      <c r="I5" s="5" t="s">
        <v>33</v>
      </c>
      <c r="J5" s="9" t="s">
        <v>51</v>
      </c>
      <c r="K5" s="27" t="s">
        <v>52</v>
      </c>
      <c r="L5" s="10" t="s">
        <v>53</v>
      </c>
      <c r="M5" s="10" t="s">
        <v>157</v>
      </c>
      <c r="N5" s="10" t="s">
        <v>75</v>
      </c>
      <c r="O5" s="4" t="s">
        <v>56</v>
      </c>
      <c r="P5" s="11" t="s">
        <v>35</v>
      </c>
      <c r="Q5" s="11" t="s">
        <v>57</v>
      </c>
      <c r="R5" s="23" t="s">
        <v>58</v>
      </c>
      <c r="S5" s="10" t="s">
        <v>37</v>
      </c>
      <c r="U5" s="67"/>
      <c r="Y5" s="61"/>
    </row>
    <row r="6" spans="1:25" ht="28.9" customHeight="1">
      <c r="A6" s="23" t="s">
        <v>59</v>
      </c>
      <c r="B6" s="5" t="s">
        <v>46</v>
      </c>
      <c r="C6" s="11" t="str">
        <f t="shared" si="0"/>
        <v>BTG - SmartCash - Operación - Ret</v>
      </c>
      <c r="D6" s="5" t="s">
        <v>47</v>
      </c>
      <c r="E6" s="5" t="s">
        <v>60</v>
      </c>
      <c r="F6" s="5" t="s">
        <v>49</v>
      </c>
      <c r="G6" s="5" t="s">
        <v>61</v>
      </c>
      <c r="H6" s="11" t="s">
        <v>62</v>
      </c>
      <c r="I6" s="5" t="s">
        <v>33</v>
      </c>
      <c r="J6" s="9" t="s">
        <v>51</v>
      </c>
      <c r="K6" s="27" t="s">
        <v>63</v>
      </c>
      <c r="L6" s="10" t="s">
        <v>53</v>
      </c>
      <c r="M6" s="10" t="s">
        <v>157</v>
      </c>
      <c r="N6" s="10" t="s">
        <v>75</v>
      </c>
      <c r="O6" s="4" t="s">
        <v>56</v>
      </c>
      <c r="P6" s="11" t="s">
        <v>35</v>
      </c>
      <c r="Q6" s="11" t="s">
        <v>57</v>
      </c>
      <c r="R6" s="23" t="s">
        <v>58</v>
      </c>
      <c r="S6" s="10" t="s">
        <v>64</v>
      </c>
      <c r="U6" s="65"/>
    </row>
    <row r="7" spans="1:25" ht="26.45">
      <c r="A7" s="23" t="s">
        <v>65</v>
      </c>
      <c r="B7" s="5" t="s">
        <v>66</v>
      </c>
      <c r="C7" s="11" t="str">
        <f t="shared" si="0"/>
        <v>ACA - Catastro Cali Piloto Dashboard - Cloud</v>
      </c>
      <c r="D7" s="5" t="s">
        <v>67</v>
      </c>
      <c r="E7" s="5" t="s">
        <v>68</v>
      </c>
      <c r="F7" s="5" t="s">
        <v>69</v>
      </c>
      <c r="G7" s="4" t="s">
        <v>70</v>
      </c>
      <c r="H7" s="11" t="str">
        <f>_xlfn.IFNA(VLOOKUP(F7,clientes!A:B,2,FALSE()),"--")</f>
        <v>Alcaldia de Cali</v>
      </c>
      <c r="I7" s="5" t="s">
        <v>71</v>
      </c>
      <c r="J7" s="12" t="s">
        <v>72</v>
      </c>
      <c r="K7" s="5" t="s">
        <v>34</v>
      </c>
      <c r="L7" s="10" t="s">
        <v>73</v>
      </c>
      <c r="M7" s="10" t="s">
        <v>74</v>
      </c>
      <c r="N7" s="10" t="s">
        <v>75</v>
      </c>
      <c r="O7" s="4" t="s">
        <v>76</v>
      </c>
      <c r="P7" s="11" t="s">
        <v>77</v>
      </c>
      <c r="Q7" s="11" t="s">
        <v>36</v>
      </c>
      <c r="R7" s="23" t="s">
        <v>78</v>
      </c>
      <c r="S7" s="10" t="s">
        <v>37</v>
      </c>
      <c r="U7" s="64" t="s">
        <v>1523</v>
      </c>
    </row>
    <row r="8" spans="1:25" ht="26.45">
      <c r="A8" s="23" t="s">
        <v>79</v>
      </c>
      <c r="B8" s="5" t="s">
        <v>66</v>
      </c>
      <c r="C8" s="11" t="str">
        <f t="shared" si="0"/>
        <v>ACA - Catastro Cali Piloto Dashboard - Fixed</v>
      </c>
      <c r="D8" s="5" t="s">
        <v>67</v>
      </c>
      <c r="E8" s="5" t="s">
        <v>80</v>
      </c>
      <c r="F8" s="5" t="s">
        <v>69</v>
      </c>
      <c r="G8" s="5" t="s">
        <v>81</v>
      </c>
      <c r="H8" s="11" t="str">
        <f>_xlfn.IFNA(VLOOKUP(F8,clientes!A:B,2,FALSE()),"--")</f>
        <v>Alcaldia de Cali</v>
      </c>
      <c r="I8" s="5" t="s">
        <v>71</v>
      </c>
      <c r="J8" s="12" t="s">
        <v>72</v>
      </c>
      <c r="K8" s="5" t="s">
        <v>34</v>
      </c>
      <c r="L8" s="10" t="s">
        <v>73</v>
      </c>
      <c r="M8" s="10" t="s">
        <v>74</v>
      </c>
      <c r="N8" s="10" t="s">
        <v>75</v>
      </c>
      <c r="O8" s="4" t="s">
        <v>76</v>
      </c>
      <c r="P8" s="11" t="s">
        <v>77</v>
      </c>
      <c r="Q8" s="11" t="s">
        <v>36</v>
      </c>
      <c r="R8" s="23" t="s">
        <v>78</v>
      </c>
      <c r="S8" s="4" t="s">
        <v>76</v>
      </c>
      <c r="U8" s="65" t="s">
        <v>1524</v>
      </c>
    </row>
    <row r="9" spans="1:25" ht="39.6">
      <c r="A9" s="23" t="s">
        <v>82</v>
      </c>
      <c r="B9" s="5" t="s">
        <v>83</v>
      </c>
      <c r="C9" s="11" t="str">
        <f t="shared" si="0"/>
        <v>ACA - Fase 1 Datacali - Fixed</v>
      </c>
      <c r="D9" s="5" t="s">
        <v>84</v>
      </c>
      <c r="E9" s="5" t="s">
        <v>80</v>
      </c>
      <c r="F9" s="5" t="s">
        <v>69</v>
      </c>
      <c r="G9" s="5" t="s">
        <v>81</v>
      </c>
      <c r="H9" s="11" t="str">
        <f>_xlfn.IFNA(VLOOKUP(F9,clientes!A:B,2,FALSE()),"--")</f>
        <v>Alcaldia de Cali</v>
      </c>
      <c r="I9" s="5" t="s">
        <v>71</v>
      </c>
      <c r="J9" s="12" t="s">
        <v>72</v>
      </c>
      <c r="K9" s="18" t="s">
        <v>85</v>
      </c>
      <c r="L9" s="10" t="s">
        <v>73</v>
      </c>
      <c r="M9" s="10" t="s">
        <v>74</v>
      </c>
      <c r="N9" s="10" t="s">
        <v>75</v>
      </c>
      <c r="O9" s="4" t="s">
        <v>76</v>
      </c>
      <c r="P9" s="11" t="s">
        <v>77</v>
      </c>
      <c r="Q9" s="11" t="s">
        <v>36</v>
      </c>
      <c r="R9" s="23" t="s">
        <v>86</v>
      </c>
      <c r="S9" s="4" t="s">
        <v>76</v>
      </c>
      <c r="U9" s="64" t="s">
        <v>1525</v>
      </c>
    </row>
    <row r="10" spans="1:25" ht="39.6">
      <c r="A10" s="23" t="s">
        <v>87</v>
      </c>
      <c r="B10" s="5" t="s">
        <v>83</v>
      </c>
      <c r="C10" s="11" t="str">
        <f t="shared" si="0"/>
        <v>ACA - Fase 1 Datacali - Ret SW</v>
      </c>
      <c r="D10" s="5" t="s">
        <v>84</v>
      </c>
      <c r="E10" s="5" t="s">
        <v>48</v>
      </c>
      <c r="F10" s="5" t="s">
        <v>69</v>
      </c>
      <c r="G10" s="5" t="s">
        <v>50</v>
      </c>
      <c r="H10" s="11" t="str">
        <f>_xlfn.IFNA(VLOOKUP(F10,clientes!A:B,2,FALSE()),"--")</f>
        <v>Alcaldia de Cali</v>
      </c>
      <c r="I10" s="5" t="s">
        <v>71</v>
      </c>
      <c r="J10" s="12" t="s">
        <v>72</v>
      </c>
      <c r="K10" s="18" t="s">
        <v>85</v>
      </c>
      <c r="L10" s="10" t="s">
        <v>73</v>
      </c>
      <c r="M10" s="10" t="s">
        <v>74</v>
      </c>
      <c r="N10" s="10" t="s">
        <v>75</v>
      </c>
      <c r="O10" s="4" t="s">
        <v>76</v>
      </c>
      <c r="P10" s="11" t="s">
        <v>77</v>
      </c>
      <c r="Q10" s="11" t="s">
        <v>36</v>
      </c>
      <c r="R10" s="23" t="s">
        <v>86</v>
      </c>
      <c r="S10" s="10" t="s">
        <v>37</v>
      </c>
      <c r="U10" s="65" t="s">
        <v>1526</v>
      </c>
    </row>
    <row r="11" spans="1:25" ht="39.6">
      <c r="A11" s="23" t="s">
        <v>88</v>
      </c>
      <c r="B11" s="5" t="s">
        <v>83</v>
      </c>
      <c r="C11" s="11" t="str">
        <f t="shared" si="0"/>
        <v>ACA - Fase 1 Datacali - Cloud</v>
      </c>
      <c r="D11" s="5" t="s">
        <v>84</v>
      </c>
      <c r="E11" s="5" t="s">
        <v>68</v>
      </c>
      <c r="F11" s="5" t="s">
        <v>69</v>
      </c>
      <c r="G11" s="4" t="s">
        <v>70</v>
      </c>
      <c r="H11" s="11" t="str">
        <f>_xlfn.IFNA(VLOOKUP(F11,clientes!A:B,2,FALSE()),"--")</f>
        <v>Alcaldia de Cali</v>
      </c>
      <c r="I11" s="5" t="s">
        <v>71</v>
      </c>
      <c r="J11" s="12" t="s">
        <v>72</v>
      </c>
      <c r="K11" s="18" t="s">
        <v>85</v>
      </c>
      <c r="L11" s="10" t="s">
        <v>73</v>
      </c>
      <c r="M11" s="10" t="s">
        <v>74</v>
      </c>
      <c r="N11" s="10" t="s">
        <v>75</v>
      </c>
      <c r="O11" s="4" t="s">
        <v>76</v>
      </c>
      <c r="P11" s="11" t="s">
        <v>77</v>
      </c>
      <c r="Q11" s="11" t="s">
        <v>36</v>
      </c>
      <c r="R11" s="23" t="s">
        <v>86</v>
      </c>
      <c r="S11" s="10" t="s">
        <v>37</v>
      </c>
      <c r="U11" s="66" t="s">
        <v>1527</v>
      </c>
    </row>
    <row r="12" spans="1:25" ht="39.6">
      <c r="A12" s="23" t="s">
        <v>89</v>
      </c>
      <c r="B12" s="5" t="s">
        <v>90</v>
      </c>
      <c r="C12" s="11" t="str">
        <f t="shared" si="0"/>
        <v>AGA - Datalake Grupo de Energía de Bogotá - Cloud</v>
      </c>
      <c r="D12" s="5" t="s">
        <v>91</v>
      </c>
      <c r="E12" s="5" t="s">
        <v>68</v>
      </c>
      <c r="F12" s="5" t="s">
        <v>92</v>
      </c>
      <c r="G12" s="4" t="s">
        <v>70</v>
      </c>
      <c r="H12" s="11" t="str">
        <f>_xlfn.IFNA(VLOOKUP(F12,clientes!A:B,2,FALSE()),"--")</f>
        <v>Agata Data</v>
      </c>
      <c r="I12" s="5" t="s">
        <v>71</v>
      </c>
      <c r="J12" s="6" t="s">
        <v>93</v>
      </c>
      <c r="K12" s="27" t="s">
        <v>94</v>
      </c>
      <c r="L12" s="10" t="s">
        <v>73</v>
      </c>
      <c r="M12" s="10" t="s">
        <v>95</v>
      </c>
      <c r="N12" s="10" t="s">
        <v>75</v>
      </c>
      <c r="O12" s="4" t="s">
        <v>96</v>
      </c>
      <c r="P12" s="11" t="s">
        <v>77</v>
      </c>
      <c r="Q12" s="11" t="s">
        <v>36</v>
      </c>
      <c r="R12" s="23" t="s">
        <v>97</v>
      </c>
      <c r="S12" s="10" t="s">
        <v>37</v>
      </c>
      <c r="U12" s="65" t="s">
        <v>1528</v>
      </c>
    </row>
    <row r="13" spans="1:25" ht="39.6">
      <c r="A13" s="23" t="s">
        <v>98</v>
      </c>
      <c r="B13" s="5" t="s">
        <v>90</v>
      </c>
      <c r="C13" s="11" t="str">
        <f t="shared" si="0"/>
        <v>AGA - Datalake Grupo de Energía de Bogotá - Ret SW</v>
      </c>
      <c r="D13" s="5" t="s">
        <v>91</v>
      </c>
      <c r="E13" s="5" t="s">
        <v>48</v>
      </c>
      <c r="F13" s="5" t="s">
        <v>92</v>
      </c>
      <c r="G13" s="5" t="s">
        <v>50</v>
      </c>
      <c r="H13" s="11" t="str">
        <f>_xlfn.IFNA(VLOOKUP(F13,clientes!A:B,2,FALSE()),"--")</f>
        <v>Agata Data</v>
      </c>
      <c r="I13" s="5" t="s">
        <v>71</v>
      </c>
      <c r="J13" s="6" t="s">
        <v>93</v>
      </c>
      <c r="K13" s="27" t="s">
        <v>94</v>
      </c>
      <c r="L13" s="10" t="s">
        <v>73</v>
      </c>
      <c r="M13" s="10" t="s">
        <v>95</v>
      </c>
      <c r="N13" s="10" t="s">
        <v>75</v>
      </c>
      <c r="O13" s="4" t="s">
        <v>96</v>
      </c>
      <c r="P13" s="11" t="s">
        <v>77</v>
      </c>
      <c r="Q13" s="11" t="s">
        <v>36</v>
      </c>
      <c r="R13" s="23" t="s">
        <v>97</v>
      </c>
      <c r="S13" s="10" t="s">
        <v>37</v>
      </c>
      <c r="U13" s="66" t="s">
        <v>1527</v>
      </c>
    </row>
    <row r="14" spans="1:25" ht="39.6">
      <c r="A14" s="23" t="s">
        <v>99</v>
      </c>
      <c r="B14" s="5" t="s">
        <v>90</v>
      </c>
      <c r="C14" s="11" t="str">
        <f t="shared" si="0"/>
        <v>AGA - Datalake Grupo de Energía de Bogotá - Ret</v>
      </c>
      <c r="D14" s="5" t="s">
        <v>91</v>
      </c>
      <c r="E14" s="5" t="s">
        <v>60</v>
      </c>
      <c r="F14" s="5" t="s">
        <v>92</v>
      </c>
      <c r="G14" s="5" t="s">
        <v>61</v>
      </c>
      <c r="H14" s="11" t="str">
        <f>_xlfn.IFNA(VLOOKUP(F14,clientes!A:B,2,FALSE()),"--")</f>
        <v>Agata Data</v>
      </c>
      <c r="I14" s="5" t="s">
        <v>71</v>
      </c>
      <c r="J14" s="6" t="s">
        <v>93</v>
      </c>
      <c r="K14" s="27" t="s">
        <v>100</v>
      </c>
      <c r="L14" s="10" t="s">
        <v>73</v>
      </c>
      <c r="M14" s="10" t="s">
        <v>95</v>
      </c>
      <c r="N14" s="10" t="s">
        <v>75</v>
      </c>
      <c r="O14" s="4" t="s">
        <v>96</v>
      </c>
      <c r="P14" s="11" t="s">
        <v>77</v>
      </c>
      <c r="Q14" s="11" t="s">
        <v>36</v>
      </c>
      <c r="R14" s="23" t="s">
        <v>97</v>
      </c>
      <c r="S14" s="10" t="s">
        <v>64</v>
      </c>
      <c r="U14" s="65" t="s">
        <v>1529</v>
      </c>
    </row>
    <row r="15" spans="1:25" ht="14.45">
      <c r="A15" s="28" t="s">
        <v>99</v>
      </c>
      <c r="B15" s="5" t="s">
        <v>1530</v>
      </c>
      <c r="C15" s="11" t="str">
        <f t="shared" si="0"/>
        <v>AGR - Multicash Operación - Pending</v>
      </c>
      <c r="D15" s="5" t="s">
        <v>480</v>
      </c>
      <c r="E15" s="5" t="s">
        <v>969</v>
      </c>
      <c r="F15" s="5" t="s">
        <v>104</v>
      </c>
      <c r="G15" s="5" t="s">
        <v>61</v>
      </c>
      <c r="H15" s="11" t="str">
        <f>_xlfn.IFNA(VLOOKUP(F15,clientes!A:B,2,FALSE()),"--")</f>
        <v>Fiduagraria</v>
      </c>
      <c r="I15" s="5" t="s">
        <v>71</v>
      </c>
      <c r="J15" s="6" t="s">
        <v>481</v>
      </c>
      <c r="K15" s="7" t="s">
        <v>482</v>
      </c>
      <c r="L15" s="10" t="s">
        <v>73</v>
      </c>
      <c r="M15" s="10" t="s">
        <v>95</v>
      </c>
      <c r="N15" s="10" t="s">
        <v>75</v>
      </c>
      <c r="O15" s="4" t="s">
        <v>107</v>
      </c>
      <c r="P15" s="11" t="s">
        <v>77</v>
      </c>
      <c r="Q15" s="11" t="s">
        <v>57</v>
      </c>
      <c r="S15" s="10" t="s">
        <v>64</v>
      </c>
      <c r="U15" s="64" t="s">
        <v>1531</v>
      </c>
    </row>
    <row r="16" spans="1:25" ht="13.15">
      <c r="A16" s="22" t="s">
        <v>101</v>
      </c>
      <c r="B16" s="5" t="s">
        <v>102</v>
      </c>
      <c r="C16" s="11" t="str">
        <f t="shared" si="0"/>
        <v>AGR - CP Suite ( Smartcash) Operación - Ret</v>
      </c>
      <c r="D16" s="5" t="s">
        <v>103</v>
      </c>
      <c r="E16" s="5" t="s">
        <v>60</v>
      </c>
      <c r="F16" s="5" t="s">
        <v>104</v>
      </c>
      <c r="G16" s="5" t="s">
        <v>61</v>
      </c>
      <c r="H16" s="11" t="str">
        <f>_xlfn.IFNA(VLOOKUP(F16,clientes!A:B,2,FALSE()),"--")</f>
        <v>Fiduagraria</v>
      </c>
      <c r="I16" s="5" t="s">
        <v>71</v>
      </c>
      <c r="J16" s="12" t="s">
        <v>105</v>
      </c>
      <c r="K16" s="53" t="s">
        <v>106</v>
      </c>
      <c r="L16" s="10" t="s">
        <v>73</v>
      </c>
      <c r="M16" s="10" t="s">
        <v>95</v>
      </c>
      <c r="N16" s="10" t="s">
        <v>75</v>
      </c>
      <c r="O16" s="4" t="s">
        <v>107</v>
      </c>
      <c r="P16" s="11" t="s">
        <v>77</v>
      </c>
      <c r="Q16" s="11" t="s">
        <v>57</v>
      </c>
      <c r="R16" s="22">
        <v>55123</v>
      </c>
      <c r="S16" s="10" t="s">
        <v>64</v>
      </c>
      <c r="U16" s="65" t="s">
        <v>1531</v>
      </c>
    </row>
    <row r="17" spans="1:21" ht="13.15">
      <c r="A17" s="22" t="s">
        <v>108</v>
      </c>
      <c r="B17" s="5" t="s">
        <v>109</v>
      </c>
      <c r="C17" s="11" t="str">
        <f t="shared" si="0"/>
        <v>AGR - Quicksight Operación 2025   - Cloud</v>
      </c>
      <c r="D17" s="5" t="s">
        <v>110</v>
      </c>
      <c r="E17" s="5" t="s">
        <v>68</v>
      </c>
      <c r="F17" s="5" t="s">
        <v>104</v>
      </c>
      <c r="G17" s="4" t="s">
        <v>70</v>
      </c>
      <c r="H17" s="11" t="str">
        <f>_xlfn.IFNA(VLOOKUP(F17,clientes!A:B,2,FALSE()),"--")</f>
        <v>Fiduagraria</v>
      </c>
      <c r="I17" s="5" t="s">
        <v>71</v>
      </c>
      <c r="J17" s="12" t="s">
        <v>111</v>
      </c>
      <c r="K17" s="27" t="s">
        <v>112</v>
      </c>
      <c r="L17" s="10" t="s">
        <v>73</v>
      </c>
      <c r="M17" s="10" t="s">
        <v>95</v>
      </c>
      <c r="N17" s="10" t="s">
        <v>75</v>
      </c>
      <c r="O17" s="4" t="s">
        <v>107</v>
      </c>
      <c r="P17" s="11" t="s">
        <v>77</v>
      </c>
      <c r="Q17" s="11" t="s">
        <v>36</v>
      </c>
      <c r="R17" s="22">
        <v>55124</v>
      </c>
      <c r="S17" s="10" t="s">
        <v>37</v>
      </c>
      <c r="U17" s="64" t="s">
        <v>1532</v>
      </c>
    </row>
    <row r="18" spans="1:21" ht="13.15">
      <c r="A18" s="22" t="s">
        <v>113</v>
      </c>
      <c r="B18" s="5" t="s">
        <v>114</v>
      </c>
      <c r="C18" s="11" t="str">
        <f t="shared" si="0"/>
        <v>AGR - Snaptask Operación 2025 - Ret</v>
      </c>
      <c r="D18" s="5" t="s">
        <v>115</v>
      </c>
      <c r="E18" s="5" t="s">
        <v>60</v>
      </c>
      <c r="F18" s="5" t="s">
        <v>104</v>
      </c>
      <c r="G18" s="5" t="s">
        <v>61</v>
      </c>
      <c r="H18" s="11" t="str">
        <f>_xlfn.IFNA(VLOOKUP(F18,clientes!A:B,2,FALSE()),"--")</f>
        <v>Fiduagraria</v>
      </c>
      <c r="I18" s="5" t="s">
        <v>71</v>
      </c>
      <c r="J18" s="12" t="s">
        <v>116</v>
      </c>
      <c r="K18" s="27" t="s">
        <v>117</v>
      </c>
      <c r="L18" s="10" t="s">
        <v>73</v>
      </c>
      <c r="M18" s="10" t="s">
        <v>95</v>
      </c>
      <c r="N18" s="10" t="s">
        <v>75</v>
      </c>
      <c r="O18" s="4" t="s">
        <v>107</v>
      </c>
      <c r="P18" s="11" t="s">
        <v>77</v>
      </c>
      <c r="Q18" s="11" t="s">
        <v>57</v>
      </c>
      <c r="R18" s="22">
        <v>55124</v>
      </c>
      <c r="S18" s="10" t="s">
        <v>64</v>
      </c>
      <c r="U18" s="65" t="s">
        <v>1533</v>
      </c>
    </row>
    <row r="19" spans="1:21" ht="13.15">
      <c r="A19" s="23" t="s">
        <v>118</v>
      </c>
      <c r="B19" s="5" t="s">
        <v>119</v>
      </c>
      <c r="C19" s="11" t="str">
        <f t="shared" si="0"/>
        <v>UBO - Operación Cloud - Cloud</v>
      </c>
      <c r="D19" s="5" t="s">
        <v>120</v>
      </c>
      <c r="E19" s="5" t="s">
        <v>68</v>
      </c>
      <c r="F19" s="5" t="s">
        <v>121</v>
      </c>
      <c r="G19" s="4" t="s">
        <v>70</v>
      </c>
      <c r="H19" s="11" t="str">
        <f>_xlfn.IFNA(VLOOKUP(F19,clientes!A:B,2,FALSE()),"--")</f>
        <v>UBosque</v>
      </c>
      <c r="I19" s="5" t="s">
        <v>33</v>
      </c>
      <c r="J19" s="9" t="s">
        <v>122</v>
      </c>
      <c r="K19" s="27" t="s">
        <v>123</v>
      </c>
      <c r="L19" s="10" t="s">
        <v>124</v>
      </c>
      <c r="M19" s="10" t="s">
        <v>95</v>
      </c>
      <c r="N19" s="10" t="s">
        <v>125</v>
      </c>
      <c r="O19" s="4" t="s">
        <v>34</v>
      </c>
      <c r="P19" s="11" t="s">
        <v>35</v>
      </c>
      <c r="Q19" s="11" t="s">
        <v>36</v>
      </c>
      <c r="R19" s="23">
        <v>55180</v>
      </c>
      <c r="S19" s="10" t="s">
        <v>37</v>
      </c>
      <c r="U19" s="64"/>
    </row>
    <row r="20" spans="1:21" ht="13.15">
      <c r="A20" s="22" t="s">
        <v>128</v>
      </c>
      <c r="B20" s="5" t="s">
        <v>129</v>
      </c>
      <c r="C20" s="11" t="str">
        <f t="shared" si="0"/>
        <v>DIA - Aprovisionamiento multinube - Lote 3 - Cloud</v>
      </c>
      <c r="D20" s="5" t="s">
        <v>130</v>
      </c>
      <c r="E20" s="5" t="s">
        <v>68</v>
      </c>
      <c r="F20" s="5" t="s">
        <v>131</v>
      </c>
      <c r="G20" s="4" t="s">
        <v>70</v>
      </c>
      <c r="H20" s="11" t="str">
        <f>_xlfn.IFNA(VLOOKUP(F20,clientes!A:B,2,FALSE()),"--")</f>
        <v>DIAN</v>
      </c>
      <c r="I20" s="5" t="s">
        <v>33</v>
      </c>
      <c r="J20" s="6" t="s">
        <v>132</v>
      </c>
      <c r="K20" s="27" t="s">
        <v>133</v>
      </c>
      <c r="L20" s="10" t="s">
        <v>134</v>
      </c>
      <c r="M20" s="10" t="s">
        <v>135</v>
      </c>
      <c r="N20" s="10" t="s">
        <v>136</v>
      </c>
      <c r="O20" s="4" t="s">
        <v>137</v>
      </c>
      <c r="P20" s="11" t="s">
        <v>35</v>
      </c>
      <c r="Q20" s="11" t="s">
        <v>36</v>
      </c>
      <c r="R20" s="22">
        <v>55144</v>
      </c>
      <c r="S20" s="4" t="s">
        <v>138</v>
      </c>
      <c r="U20" s="65"/>
    </row>
    <row r="21" spans="1:21" ht="26.45">
      <c r="A21" s="23" t="s">
        <v>139</v>
      </c>
      <c r="B21" s="5" t="s">
        <v>140</v>
      </c>
      <c r="C21" s="11" t="str">
        <f t="shared" si="0"/>
        <v>JPM - Cloud Managed Services 2023-25 - Ret</v>
      </c>
      <c r="D21" s="5" t="s">
        <v>141</v>
      </c>
      <c r="E21" s="5" t="s">
        <v>60</v>
      </c>
      <c r="F21" s="5" t="s">
        <v>142</v>
      </c>
      <c r="G21" s="5" t="s">
        <v>61</v>
      </c>
      <c r="H21" s="11" t="str">
        <f>_xlfn.IFNA(VLOOKUP(F21,clientes!A:B,2,FALSE()),"--")</f>
        <v>JPMP - Justicia Penal Militar y Policial</v>
      </c>
      <c r="I21" s="5" t="s">
        <v>33</v>
      </c>
      <c r="J21" s="6" t="s">
        <v>143</v>
      </c>
      <c r="K21" s="27" t="s">
        <v>144</v>
      </c>
      <c r="L21" s="10" t="s">
        <v>134</v>
      </c>
      <c r="M21" s="10" t="s">
        <v>145</v>
      </c>
      <c r="N21" s="10" t="s">
        <v>136</v>
      </c>
      <c r="O21" s="4" t="s">
        <v>137</v>
      </c>
      <c r="P21" s="11" t="s">
        <v>35</v>
      </c>
      <c r="Q21" s="11" t="s">
        <v>36</v>
      </c>
      <c r="R21" s="23" t="s">
        <v>146</v>
      </c>
      <c r="S21" s="4" t="s">
        <v>138</v>
      </c>
      <c r="U21" s="64"/>
    </row>
    <row r="22" spans="1:21" ht="26.45">
      <c r="A22" s="23" t="s">
        <v>149</v>
      </c>
      <c r="B22" s="5" t="s">
        <v>140</v>
      </c>
      <c r="C22" s="11" t="str">
        <f t="shared" si="0"/>
        <v>JPM - Cloud Managed Services 2023-25 - Cloud</v>
      </c>
      <c r="D22" s="5" t="s">
        <v>141</v>
      </c>
      <c r="E22" s="5" t="s">
        <v>68</v>
      </c>
      <c r="F22" s="5" t="s">
        <v>142</v>
      </c>
      <c r="G22" s="4" t="s">
        <v>70</v>
      </c>
      <c r="H22" s="11" t="str">
        <f>_xlfn.IFNA(VLOOKUP(F22,clientes!A:B,2,FALSE()),"--")</f>
        <v>JPMP - Justicia Penal Militar y Policial</v>
      </c>
      <c r="I22" s="5" t="s">
        <v>33</v>
      </c>
      <c r="J22" s="6" t="s">
        <v>143</v>
      </c>
      <c r="K22" s="7" t="s">
        <v>144</v>
      </c>
      <c r="L22" s="10" t="s">
        <v>134</v>
      </c>
      <c r="M22" s="10" t="s">
        <v>145</v>
      </c>
      <c r="N22" s="10" t="s">
        <v>136</v>
      </c>
      <c r="O22" s="4" t="s">
        <v>137</v>
      </c>
      <c r="P22" s="11" t="s">
        <v>35</v>
      </c>
      <c r="Q22" s="11" t="s">
        <v>36</v>
      </c>
      <c r="R22" s="23" t="s">
        <v>146</v>
      </c>
      <c r="S22" s="4" t="s">
        <v>138</v>
      </c>
      <c r="U22" s="65"/>
    </row>
    <row r="23" spans="1:21" ht="26.45">
      <c r="A23" s="23" t="s">
        <v>150</v>
      </c>
      <c r="B23" s="5" t="s">
        <v>151</v>
      </c>
      <c r="C23" s="11" t="str">
        <f t="shared" si="0"/>
        <v>BID - Migración y Diseño de Arquitectura AWS - Cloud</v>
      </c>
      <c r="D23" s="5" t="s">
        <v>152</v>
      </c>
      <c r="E23" s="5" t="s">
        <v>68</v>
      </c>
      <c r="F23" s="5" t="s">
        <v>153</v>
      </c>
      <c r="G23" s="4" t="s">
        <v>70</v>
      </c>
      <c r="H23" s="11" t="str">
        <f>_xlfn.IFNA(VLOOKUP(F23,clientes!A:B,2,FALSE()),"--")</f>
        <v>Banco Interamericano de Desarrollo</v>
      </c>
      <c r="I23" s="5" t="s">
        <v>71</v>
      </c>
      <c r="J23" s="6" t="s">
        <v>154</v>
      </c>
      <c r="K23" s="4" t="s">
        <v>155</v>
      </c>
      <c r="L23" s="40" t="s">
        <v>134</v>
      </c>
      <c r="M23" s="10" t="s">
        <v>145</v>
      </c>
      <c r="N23" s="10" t="s">
        <v>201</v>
      </c>
      <c r="P23" s="11" t="s">
        <v>77</v>
      </c>
      <c r="Q23" s="11" t="s">
        <v>36</v>
      </c>
      <c r="R23" s="23" t="s">
        <v>158</v>
      </c>
      <c r="S23" s="10" t="s">
        <v>37</v>
      </c>
      <c r="U23" s="64" t="s">
        <v>1534</v>
      </c>
    </row>
    <row r="24" spans="1:21" ht="26.45">
      <c r="A24" s="23" t="s">
        <v>159</v>
      </c>
      <c r="B24" s="5" t="s">
        <v>151</v>
      </c>
      <c r="C24" s="11" t="str">
        <f t="shared" si="0"/>
        <v>BID - Migración y Diseño de Arquitectura AWS - Ret</v>
      </c>
      <c r="D24" s="5" t="s">
        <v>152</v>
      </c>
      <c r="E24" s="5" t="s">
        <v>60</v>
      </c>
      <c r="F24" s="5" t="s">
        <v>153</v>
      </c>
      <c r="G24" s="5" t="s">
        <v>61</v>
      </c>
      <c r="H24" s="11" t="str">
        <f>_xlfn.IFNA(VLOOKUP(F24,clientes!A:B,2,FALSE()),"--")</f>
        <v>Banco Interamericano de Desarrollo</v>
      </c>
      <c r="I24" s="5" t="s">
        <v>71</v>
      </c>
      <c r="J24" s="6" t="s">
        <v>154</v>
      </c>
      <c r="K24" s="4" t="s">
        <v>155</v>
      </c>
      <c r="L24" s="40" t="s">
        <v>134</v>
      </c>
      <c r="M24" s="10" t="s">
        <v>145</v>
      </c>
      <c r="N24" s="10" t="s">
        <v>75</v>
      </c>
      <c r="O24" s="4" t="s">
        <v>160</v>
      </c>
      <c r="P24" s="11" t="s">
        <v>77</v>
      </c>
      <c r="Q24" s="11" t="s">
        <v>36</v>
      </c>
      <c r="R24" s="23" t="s">
        <v>158</v>
      </c>
      <c r="S24" s="4" t="s">
        <v>160</v>
      </c>
      <c r="U24" s="65" t="s">
        <v>1535</v>
      </c>
    </row>
    <row r="25" spans="1:21" ht="13.15">
      <c r="A25" s="23" t="s">
        <v>161</v>
      </c>
      <c r="B25" s="5" t="s">
        <v>162</v>
      </c>
      <c r="C25" s="11" t="str">
        <f t="shared" si="0"/>
        <v>DIA - Back Ups - Fixed</v>
      </c>
      <c r="D25" s="5" t="s">
        <v>163</v>
      </c>
      <c r="E25" s="5" t="s">
        <v>80</v>
      </c>
      <c r="F25" s="5" t="s">
        <v>131</v>
      </c>
      <c r="G25" s="5" t="s">
        <v>81</v>
      </c>
      <c r="H25" s="11" t="str">
        <f>_xlfn.IFNA(VLOOKUP(F25,clientes!A:B,2,FALSE()),"--")</f>
        <v>DIAN</v>
      </c>
      <c r="I25" s="5" t="s">
        <v>33</v>
      </c>
      <c r="J25" s="6" t="s">
        <v>132</v>
      </c>
      <c r="K25" s="27" t="s">
        <v>164</v>
      </c>
      <c r="L25" s="10" t="s">
        <v>134</v>
      </c>
      <c r="M25" s="10" t="s">
        <v>135</v>
      </c>
      <c r="N25" s="10" t="s">
        <v>136</v>
      </c>
      <c r="O25" s="4" t="s">
        <v>137</v>
      </c>
      <c r="P25" s="11" t="s">
        <v>35</v>
      </c>
      <c r="Q25" s="11" t="s">
        <v>36</v>
      </c>
      <c r="R25" s="23">
        <v>55145</v>
      </c>
      <c r="S25" s="4" t="s">
        <v>138</v>
      </c>
      <c r="U25" s="64"/>
    </row>
    <row r="26" spans="1:21" ht="26.45">
      <c r="A26" s="23" t="s">
        <v>165</v>
      </c>
      <c r="B26" s="5" t="s">
        <v>166</v>
      </c>
      <c r="C26" s="11" t="str">
        <f t="shared" si="0"/>
        <v>CAT - Nube Pública para Datalake - Ret</v>
      </c>
      <c r="D26" s="5" t="s">
        <v>167</v>
      </c>
      <c r="E26" s="5" t="s">
        <v>60</v>
      </c>
      <c r="F26" s="5" t="s">
        <v>168</v>
      </c>
      <c r="G26" s="5" t="s">
        <v>61</v>
      </c>
      <c r="H26" s="11" t="str">
        <f>_xlfn.IFNA(VLOOKUP(F26,clientes!A:B,2,FALSE()),"--")</f>
        <v>Unidad Administrativa Especial de Catastro Distrital</v>
      </c>
      <c r="I26" s="5" t="s">
        <v>71</v>
      </c>
      <c r="J26" s="6" t="s">
        <v>169</v>
      </c>
      <c r="K26" s="7" t="s">
        <v>170</v>
      </c>
      <c r="L26" s="10" t="s">
        <v>53</v>
      </c>
      <c r="M26" s="10" t="s">
        <v>95</v>
      </c>
      <c r="N26" s="10" t="s">
        <v>75</v>
      </c>
      <c r="O26" s="4" t="s">
        <v>171</v>
      </c>
      <c r="P26" s="11" t="s">
        <v>77</v>
      </c>
      <c r="Q26" s="11" t="s">
        <v>36</v>
      </c>
      <c r="R26" s="23" t="s">
        <v>172</v>
      </c>
      <c r="S26" s="4" t="s">
        <v>138</v>
      </c>
      <c r="U26" s="65" t="s">
        <v>1536</v>
      </c>
    </row>
    <row r="27" spans="1:21" ht="26.45">
      <c r="A27" s="23" t="s">
        <v>173</v>
      </c>
      <c r="B27" s="5" t="s">
        <v>166</v>
      </c>
      <c r="C27" s="11" t="str">
        <f t="shared" si="0"/>
        <v>CAT - Nube Pública para Datalake - Cloud</v>
      </c>
      <c r="D27" s="5" t="s">
        <v>167</v>
      </c>
      <c r="E27" s="5" t="s">
        <v>68</v>
      </c>
      <c r="F27" s="5" t="s">
        <v>168</v>
      </c>
      <c r="G27" s="4" t="s">
        <v>70</v>
      </c>
      <c r="H27" s="11" t="str">
        <f>_xlfn.IFNA(VLOOKUP(F27,clientes!A:B,2,FALSE()),"--")</f>
        <v>Unidad Administrativa Especial de Catastro Distrital</v>
      </c>
      <c r="I27" s="5" t="s">
        <v>71</v>
      </c>
      <c r="J27" s="6" t="s">
        <v>169</v>
      </c>
      <c r="K27" s="7" t="s">
        <v>170</v>
      </c>
      <c r="L27" s="4" t="s">
        <v>53</v>
      </c>
      <c r="M27" s="10" t="s">
        <v>95</v>
      </c>
      <c r="N27" s="10" t="s">
        <v>75</v>
      </c>
      <c r="O27" s="4" t="s">
        <v>171</v>
      </c>
      <c r="P27" s="11" t="s">
        <v>77</v>
      </c>
      <c r="Q27" s="11" t="s">
        <v>36</v>
      </c>
      <c r="R27" s="23" t="s">
        <v>172</v>
      </c>
      <c r="S27" s="4" t="s">
        <v>138</v>
      </c>
      <c r="U27" s="66" t="s">
        <v>1537</v>
      </c>
    </row>
    <row r="28" spans="1:21" ht="14.45">
      <c r="A28" s="22" t="s">
        <v>174</v>
      </c>
      <c r="B28" s="5" t="s">
        <v>175</v>
      </c>
      <c r="C28" s="11" t="str">
        <f t="shared" si="0"/>
        <v>CCC - IaaS para DRP - Cloud</v>
      </c>
      <c r="D28" s="5" t="s">
        <v>176</v>
      </c>
      <c r="E28" s="5" t="s">
        <v>68</v>
      </c>
      <c r="F28" s="5" t="s">
        <v>177</v>
      </c>
      <c r="G28" s="4" t="s">
        <v>70</v>
      </c>
      <c r="H28" s="11" t="str">
        <f>_xlfn.IFNA(VLOOKUP(F28,clientes!A:B,2,FALSE()),"--")</f>
        <v>Cámara de Comercio de Cali</v>
      </c>
      <c r="I28" s="5" t="s">
        <v>33</v>
      </c>
      <c r="J28" s="6" t="s">
        <v>178</v>
      </c>
      <c r="K28" s="27" t="s">
        <v>179</v>
      </c>
      <c r="L28" s="10" t="s">
        <v>73</v>
      </c>
      <c r="M28" s="10" t="s">
        <v>74</v>
      </c>
      <c r="N28" s="10" t="s">
        <v>136</v>
      </c>
      <c r="O28" s="4" t="s">
        <v>137</v>
      </c>
      <c r="P28" s="11" t="s">
        <v>35</v>
      </c>
      <c r="Q28" s="11" t="s">
        <v>36</v>
      </c>
      <c r="R28" s="22">
        <v>55135</v>
      </c>
      <c r="S28" s="4" t="s">
        <v>138</v>
      </c>
      <c r="U28" s="63"/>
    </row>
    <row r="29" spans="1:21" ht="26.45">
      <c r="A29" s="23" t="s">
        <v>181</v>
      </c>
      <c r="B29" s="5" t="s">
        <v>182</v>
      </c>
      <c r="C29" s="11" t="str">
        <f t="shared" si="0"/>
        <v>CSJ - Migración AWS - Fixed</v>
      </c>
      <c r="D29" s="5" t="s">
        <v>183</v>
      </c>
      <c r="E29" s="5" t="s">
        <v>80</v>
      </c>
      <c r="F29" s="5" t="s">
        <v>184</v>
      </c>
      <c r="G29" s="5" t="s">
        <v>81</v>
      </c>
      <c r="H29" s="11" t="str">
        <f>_xlfn.IFNA(VLOOKUP(F29,clientes!A:B,2,FALSE()),"--")</f>
        <v>Consejo Superior de la Judicatura</v>
      </c>
      <c r="I29" s="5" t="s">
        <v>71</v>
      </c>
      <c r="J29" s="6" t="s">
        <v>185</v>
      </c>
      <c r="K29" s="7" t="s">
        <v>186</v>
      </c>
      <c r="L29" s="10" t="s">
        <v>124</v>
      </c>
      <c r="M29" s="13" t="s">
        <v>187</v>
      </c>
      <c r="N29" s="10" t="s">
        <v>136</v>
      </c>
      <c r="O29" s="4" t="s">
        <v>137</v>
      </c>
      <c r="P29" s="11" t="s">
        <v>77</v>
      </c>
      <c r="Q29" s="11" t="s">
        <v>36</v>
      </c>
      <c r="R29" s="23" t="s">
        <v>188</v>
      </c>
      <c r="S29" s="4" t="s">
        <v>138</v>
      </c>
      <c r="U29" s="66" t="s">
        <v>1537</v>
      </c>
    </row>
    <row r="30" spans="1:21" ht="14.45">
      <c r="A30" s="23" t="s">
        <v>189</v>
      </c>
      <c r="B30" s="5" t="s">
        <v>190</v>
      </c>
      <c r="C30" s="11" t="str">
        <f t="shared" si="0"/>
        <v>UNA - Unisalud - Ret</v>
      </c>
      <c r="D30" s="5" t="s">
        <v>191</v>
      </c>
      <c r="E30" s="5" t="s">
        <v>60</v>
      </c>
      <c r="F30" s="5" t="s">
        <v>192</v>
      </c>
      <c r="G30" s="5" t="s">
        <v>61</v>
      </c>
      <c r="H30" s="11" t="str">
        <f>_xlfn.IFNA(VLOOKUP(F30,clientes!A:B,2,FALSE()),"--")</f>
        <v>Universidad Nacional de Colombia</v>
      </c>
      <c r="I30" s="5" t="s">
        <v>33</v>
      </c>
      <c r="J30" s="12" t="s">
        <v>193</v>
      </c>
      <c r="K30" s="19" t="s">
        <v>194</v>
      </c>
      <c r="L30" s="4" t="s">
        <v>53</v>
      </c>
      <c r="M30" s="10" t="s">
        <v>95</v>
      </c>
      <c r="N30" s="10" t="s">
        <v>136</v>
      </c>
      <c r="O30" s="4" t="s">
        <v>137</v>
      </c>
      <c r="P30" s="11" t="s">
        <v>35</v>
      </c>
      <c r="Q30" s="11" t="s">
        <v>36</v>
      </c>
      <c r="R30" s="23">
        <v>55203</v>
      </c>
      <c r="S30" s="10" t="s">
        <v>37</v>
      </c>
      <c r="U30" s="63"/>
    </row>
    <row r="31" spans="1:21" ht="52.9">
      <c r="A31" s="23" t="s">
        <v>195</v>
      </c>
      <c r="B31" s="5" t="s">
        <v>196</v>
      </c>
      <c r="C31" s="11" t="str">
        <f t="shared" si="0"/>
        <v>CJU - Sistema integrado de Secretaría Técnica - Ret</v>
      </c>
      <c r="D31" s="5" t="s">
        <v>197</v>
      </c>
      <c r="E31" s="5" t="s">
        <v>60</v>
      </c>
      <c r="F31" s="5" t="s">
        <v>198</v>
      </c>
      <c r="G31" s="5" t="s">
        <v>61</v>
      </c>
      <c r="H31" s="11" t="str">
        <f>_xlfn.IFNA(VLOOKUP(F31,clientes!A:B,2,FALSE()),"--")</f>
        <v>Coljuegos</v>
      </c>
      <c r="I31" s="5" t="s">
        <v>71</v>
      </c>
      <c r="J31" s="12" t="s">
        <v>199</v>
      </c>
      <c r="K31" s="27" t="s">
        <v>200</v>
      </c>
      <c r="L31" s="10" t="s">
        <v>134</v>
      </c>
      <c r="M31" s="10" t="s">
        <v>74</v>
      </c>
      <c r="N31" s="10" t="s">
        <v>201</v>
      </c>
      <c r="O31" s="10" t="s">
        <v>202</v>
      </c>
      <c r="P31" s="11" t="s">
        <v>77</v>
      </c>
      <c r="Q31" s="11" t="s">
        <v>36</v>
      </c>
      <c r="R31" s="23" t="s">
        <v>203</v>
      </c>
      <c r="S31" s="10" t="s">
        <v>202</v>
      </c>
      <c r="U31" s="66" t="s">
        <v>1527</v>
      </c>
    </row>
    <row r="32" spans="1:21" ht="14.45">
      <c r="A32" s="22" t="s">
        <v>206</v>
      </c>
      <c r="B32" s="5" t="s">
        <v>207</v>
      </c>
      <c r="C32" s="11" t="str">
        <f t="shared" si="0"/>
        <v>UNA - Regalías Sikie - Cloud</v>
      </c>
      <c r="D32" s="5" t="s">
        <v>208</v>
      </c>
      <c r="E32" s="5" t="s">
        <v>68</v>
      </c>
      <c r="F32" s="5" t="s">
        <v>192</v>
      </c>
      <c r="G32" s="4" t="s">
        <v>70</v>
      </c>
      <c r="H32" s="11" t="str">
        <f>_xlfn.IFNA(VLOOKUP(F32,clientes!A:B,2,FALSE()),"--")</f>
        <v>Universidad Nacional de Colombia</v>
      </c>
      <c r="I32" s="5" t="s">
        <v>33</v>
      </c>
      <c r="J32" s="12" t="s">
        <v>193</v>
      </c>
      <c r="K32" s="19" t="s">
        <v>194</v>
      </c>
      <c r="L32" s="4" t="s">
        <v>53</v>
      </c>
      <c r="M32" s="10" t="s">
        <v>95</v>
      </c>
      <c r="N32" s="10" t="s">
        <v>136</v>
      </c>
      <c r="O32" s="4" t="s">
        <v>137</v>
      </c>
      <c r="P32" s="11" t="s">
        <v>35</v>
      </c>
      <c r="Q32" s="11" t="s">
        <v>36</v>
      </c>
      <c r="R32" s="22">
        <v>55206</v>
      </c>
      <c r="S32" s="10" t="s">
        <v>37</v>
      </c>
      <c r="U32" s="63"/>
    </row>
    <row r="33" spans="1:21" ht="14.45">
      <c r="A33" s="22" t="s">
        <v>209</v>
      </c>
      <c r="B33" s="5" t="s">
        <v>207</v>
      </c>
      <c r="C33" s="11" t="str">
        <f t="shared" si="0"/>
        <v>UNA - Regalías Sikie - Ret</v>
      </c>
      <c r="D33" s="5" t="s">
        <v>208</v>
      </c>
      <c r="E33" s="5" t="s">
        <v>60</v>
      </c>
      <c r="F33" s="5" t="s">
        <v>192</v>
      </c>
      <c r="G33" s="5" t="s">
        <v>61</v>
      </c>
      <c r="H33" s="11" t="str">
        <f>_xlfn.IFNA(VLOOKUP(F33,clientes!A:B,2,FALSE()),"--")</f>
        <v>Universidad Nacional de Colombia</v>
      </c>
      <c r="I33" s="5" t="s">
        <v>33</v>
      </c>
      <c r="J33" s="12" t="s">
        <v>210</v>
      </c>
      <c r="K33" s="19" t="s">
        <v>194</v>
      </c>
      <c r="L33" s="4" t="s">
        <v>53</v>
      </c>
      <c r="M33" s="10" t="s">
        <v>95</v>
      </c>
      <c r="N33" s="10" t="s">
        <v>136</v>
      </c>
      <c r="O33" s="4" t="s">
        <v>137</v>
      </c>
      <c r="P33" s="11" t="s">
        <v>35</v>
      </c>
      <c r="Q33" s="11"/>
      <c r="R33" s="22">
        <v>2600</v>
      </c>
      <c r="S33" s="10" t="s">
        <v>211</v>
      </c>
      <c r="U33" s="66"/>
    </row>
    <row r="34" spans="1:21" ht="13.15">
      <c r="A34" s="22" t="s">
        <v>209</v>
      </c>
      <c r="B34" s="4" t="s">
        <v>207</v>
      </c>
      <c r="C34" s="4" t="s">
        <v>212</v>
      </c>
      <c r="D34" s="4" t="s">
        <v>208</v>
      </c>
      <c r="E34" s="4" t="s">
        <v>60</v>
      </c>
      <c r="F34" s="4" t="s">
        <v>192</v>
      </c>
      <c r="G34" s="5" t="s">
        <v>61</v>
      </c>
      <c r="H34" s="11" t="str">
        <f>_xlfn.IFNA(VLOOKUP(F34,clientes!A:B,2,FALSE()),"--")</f>
        <v>Universidad Nacional de Colombia</v>
      </c>
      <c r="I34" s="5" t="s">
        <v>33</v>
      </c>
      <c r="L34" s="4" t="s">
        <v>53</v>
      </c>
      <c r="M34" s="4" t="s">
        <v>213</v>
      </c>
      <c r="P34" s="11" t="s">
        <v>35</v>
      </c>
      <c r="U34" s="65"/>
    </row>
    <row r="35" spans="1:21" ht="26.45">
      <c r="A35" s="23" t="s">
        <v>214</v>
      </c>
      <c r="B35" s="5" t="s">
        <v>215</v>
      </c>
      <c r="C35" s="11" t="str">
        <f t="shared" ref="C35:C66" si="1">F35&amp;" - "&amp;D35&amp;" - "&amp;E35</f>
        <v>UNA - Fortinet - Fixed</v>
      </c>
      <c r="D35" s="5" t="s">
        <v>216</v>
      </c>
      <c r="E35" s="5" t="s">
        <v>80</v>
      </c>
      <c r="F35" s="5" t="s">
        <v>192</v>
      </c>
      <c r="G35" s="5" t="s">
        <v>81</v>
      </c>
      <c r="H35" s="11" t="str">
        <f>_xlfn.IFNA(VLOOKUP(F35,clientes!A:B,2,FALSE()),"--")</f>
        <v>Universidad Nacional de Colombia</v>
      </c>
      <c r="I35" s="5" t="s">
        <v>33</v>
      </c>
      <c r="J35" s="12" t="s">
        <v>193</v>
      </c>
      <c r="K35" s="19" t="s">
        <v>194</v>
      </c>
      <c r="L35" s="4" t="s">
        <v>53</v>
      </c>
      <c r="M35" s="10" t="s">
        <v>95</v>
      </c>
      <c r="N35" s="10" t="s">
        <v>136</v>
      </c>
      <c r="O35" s="4" t="s">
        <v>137</v>
      </c>
      <c r="P35" s="11" t="s">
        <v>35</v>
      </c>
      <c r="Q35" s="11" t="s">
        <v>36</v>
      </c>
      <c r="R35" s="23" t="s">
        <v>217</v>
      </c>
      <c r="S35" s="4" t="s">
        <v>138</v>
      </c>
      <c r="U35" s="64"/>
    </row>
    <row r="36" spans="1:21" ht="39.6">
      <c r="A36" s="23" t="s">
        <v>218</v>
      </c>
      <c r="B36" s="5" t="s">
        <v>219</v>
      </c>
      <c r="C36" s="11" t="str">
        <f t="shared" si="1"/>
        <v>EAF - Portal Colombia Aprende - Fixed</v>
      </c>
      <c r="D36" s="5" t="s">
        <v>220</v>
      </c>
      <c r="E36" s="5" t="s">
        <v>80</v>
      </c>
      <c r="F36" s="5" t="s">
        <v>221</v>
      </c>
      <c r="G36" s="5" t="s">
        <v>81</v>
      </c>
      <c r="H36" s="11" t="str">
        <f>_xlfn.IFNA(VLOOKUP(F36,clientes!A:B,2,FALSE()),"--")</f>
        <v>Universidad EAFIT - Escuela de Administración, Finanzas e Instituto Tecnológico</v>
      </c>
      <c r="I36" s="5" t="s">
        <v>71</v>
      </c>
      <c r="J36" s="6" t="s">
        <v>222</v>
      </c>
      <c r="K36" s="27" t="s">
        <v>223</v>
      </c>
      <c r="L36" s="10" t="s">
        <v>73</v>
      </c>
      <c r="M36" s="10" t="s">
        <v>74</v>
      </c>
      <c r="N36" s="10" t="s">
        <v>201</v>
      </c>
      <c r="O36" s="4" t="s">
        <v>202</v>
      </c>
      <c r="P36" s="11" t="s">
        <v>77</v>
      </c>
      <c r="Q36" s="11" t="s">
        <v>36</v>
      </c>
      <c r="R36" s="23" t="s">
        <v>224</v>
      </c>
      <c r="S36" s="10" t="s">
        <v>64</v>
      </c>
      <c r="U36" s="65" t="s">
        <v>1538</v>
      </c>
    </row>
    <row r="37" spans="1:21" ht="39.6">
      <c r="A37" s="23" t="s">
        <v>225</v>
      </c>
      <c r="B37" s="5" t="s">
        <v>219</v>
      </c>
      <c r="C37" s="11" t="str">
        <f t="shared" si="1"/>
        <v>EAF - Portal Colombia Aprende - Ret SW</v>
      </c>
      <c r="D37" s="5" t="s">
        <v>220</v>
      </c>
      <c r="E37" s="5" t="s">
        <v>48</v>
      </c>
      <c r="F37" s="5" t="s">
        <v>221</v>
      </c>
      <c r="G37" s="5" t="s">
        <v>50</v>
      </c>
      <c r="H37" s="11" t="str">
        <f>_xlfn.IFNA(VLOOKUP(F37,clientes!A:B,2,FALSE()),"--")</f>
        <v>Universidad EAFIT - Escuela de Administración, Finanzas e Instituto Tecnológico</v>
      </c>
      <c r="I37" s="5" t="s">
        <v>71</v>
      </c>
      <c r="J37" s="6" t="s">
        <v>222</v>
      </c>
      <c r="K37" s="27" t="s">
        <v>223</v>
      </c>
      <c r="L37" s="10" t="s">
        <v>73</v>
      </c>
      <c r="M37" s="10" t="s">
        <v>74</v>
      </c>
      <c r="N37" s="10" t="s">
        <v>201</v>
      </c>
      <c r="O37" s="4" t="s">
        <v>202</v>
      </c>
      <c r="P37" s="11" t="s">
        <v>77</v>
      </c>
      <c r="Q37" s="11" t="s">
        <v>36</v>
      </c>
      <c r="R37" s="23" t="s">
        <v>224</v>
      </c>
      <c r="S37" s="10" t="s">
        <v>37</v>
      </c>
      <c r="U37" s="64" t="s">
        <v>1539</v>
      </c>
    </row>
    <row r="38" spans="1:21" ht="39.6">
      <c r="A38" s="23" t="s">
        <v>226</v>
      </c>
      <c r="B38" s="5" t="s">
        <v>219</v>
      </c>
      <c r="C38" s="11" t="str">
        <f t="shared" si="1"/>
        <v>EAF - Portal Colombia Aprende - Cloud</v>
      </c>
      <c r="D38" s="5" t="s">
        <v>220</v>
      </c>
      <c r="E38" s="5" t="s">
        <v>68</v>
      </c>
      <c r="F38" s="5" t="s">
        <v>221</v>
      </c>
      <c r="G38" s="4" t="s">
        <v>70</v>
      </c>
      <c r="H38" s="11" t="str">
        <f>_xlfn.IFNA(VLOOKUP(F38,clientes!A:B,2,FALSE()),"--")</f>
        <v>Universidad EAFIT - Escuela de Administración, Finanzas e Instituto Tecnológico</v>
      </c>
      <c r="I38" s="5" t="s">
        <v>71</v>
      </c>
      <c r="J38" s="6" t="s">
        <v>222</v>
      </c>
      <c r="K38" s="27" t="s">
        <v>223</v>
      </c>
      <c r="L38" s="10" t="s">
        <v>73</v>
      </c>
      <c r="M38" s="10" t="s">
        <v>74</v>
      </c>
      <c r="N38" s="10" t="s">
        <v>201</v>
      </c>
      <c r="O38" s="4" t="s">
        <v>202</v>
      </c>
      <c r="P38" s="11" t="s">
        <v>77</v>
      </c>
      <c r="Q38" s="11" t="s">
        <v>36</v>
      </c>
      <c r="R38" s="23" t="s">
        <v>224</v>
      </c>
      <c r="S38" s="10" t="s">
        <v>37</v>
      </c>
      <c r="U38" s="65" t="s">
        <v>1540</v>
      </c>
    </row>
    <row r="39" spans="1:21" ht="26.45">
      <c r="A39" s="23" t="s">
        <v>227</v>
      </c>
      <c r="B39" s="5" t="s">
        <v>215</v>
      </c>
      <c r="C39" s="11" t="str">
        <f t="shared" si="1"/>
        <v>UNA - Fortinet - Cloud</v>
      </c>
      <c r="D39" s="5" t="s">
        <v>216</v>
      </c>
      <c r="E39" s="5" t="s">
        <v>68</v>
      </c>
      <c r="F39" s="5" t="s">
        <v>192</v>
      </c>
      <c r="G39" s="4" t="s">
        <v>70</v>
      </c>
      <c r="H39" s="11" t="str">
        <f>_xlfn.IFNA(VLOOKUP(F39,clientes!A:B,2,FALSE()),"--")</f>
        <v>Universidad Nacional de Colombia</v>
      </c>
      <c r="I39" s="5" t="s">
        <v>33</v>
      </c>
      <c r="J39" s="12" t="s">
        <v>193</v>
      </c>
      <c r="K39" s="19" t="s">
        <v>194</v>
      </c>
      <c r="L39" s="4" t="s">
        <v>53</v>
      </c>
      <c r="M39" s="10" t="s">
        <v>95</v>
      </c>
      <c r="N39" s="10" t="s">
        <v>136</v>
      </c>
      <c r="O39" s="4" t="s">
        <v>137</v>
      </c>
      <c r="P39" s="11" t="s">
        <v>35</v>
      </c>
      <c r="Q39" s="11" t="s">
        <v>36</v>
      </c>
      <c r="R39" s="23" t="s">
        <v>217</v>
      </c>
      <c r="S39" s="10" t="s">
        <v>37</v>
      </c>
      <c r="U39" s="64"/>
    </row>
    <row r="40" spans="1:21" ht="13.15">
      <c r="A40" s="23" t="s">
        <v>228</v>
      </c>
      <c r="B40" s="5" t="s">
        <v>229</v>
      </c>
      <c r="C40" s="11" t="str">
        <f t="shared" si="1"/>
        <v>FDN - Tableros BI - Fixed</v>
      </c>
      <c r="D40" s="5" t="s">
        <v>230</v>
      </c>
      <c r="E40" s="5" t="s">
        <v>80</v>
      </c>
      <c r="F40" s="5" t="s">
        <v>231</v>
      </c>
      <c r="G40" s="5" t="s">
        <v>81</v>
      </c>
      <c r="H40" s="11" t="str">
        <f>_xlfn.IFNA(VLOOKUP(F40,clientes!A:B,2,FALSE()),"--")</f>
        <v>Financiera de Desarrollo Nacional</v>
      </c>
      <c r="I40" s="5" t="s">
        <v>71</v>
      </c>
      <c r="J40" s="12" t="s">
        <v>232</v>
      </c>
      <c r="K40" s="4" t="s">
        <v>233</v>
      </c>
      <c r="L40" s="10" t="s">
        <v>134</v>
      </c>
      <c r="M40" s="10" t="s">
        <v>95</v>
      </c>
      <c r="N40" s="10" t="s">
        <v>136</v>
      </c>
      <c r="O40" s="4" t="s">
        <v>137</v>
      </c>
      <c r="P40" s="11" t="s">
        <v>77</v>
      </c>
      <c r="Q40" s="11" t="s">
        <v>36</v>
      </c>
      <c r="R40" s="23">
        <v>55155</v>
      </c>
      <c r="S40" s="10" t="s">
        <v>64</v>
      </c>
      <c r="U40" s="65" t="s">
        <v>1541</v>
      </c>
    </row>
    <row r="41" spans="1:21" ht="39.6">
      <c r="A41" s="23" t="s">
        <v>235</v>
      </c>
      <c r="B41" s="5" t="s">
        <v>236</v>
      </c>
      <c r="C41" s="11" t="str">
        <f t="shared" si="1"/>
        <v>FOA - Gestión Integral Mojana - Fixed</v>
      </c>
      <c r="D41" s="5" t="s">
        <v>237</v>
      </c>
      <c r="E41" s="5" t="s">
        <v>80</v>
      </c>
      <c r="F41" s="5" t="s">
        <v>238</v>
      </c>
      <c r="G41" s="5" t="s">
        <v>81</v>
      </c>
      <c r="H41" s="11" t="str">
        <f>_xlfn.IFNA(VLOOKUP(F41,clientes!A:B,2,FALSE()),"--")</f>
        <v>Fondo Adaptación</v>
      </c>
      <c r="I41" s="5" t="s">
        <v>71</v>
      </c>
      <c r="J41" s="6" t="s">
        <v>239</v>
      </c>
      <c r="K41" s="4" t="s">
        <v>240</v>
      </c>
      <c r="L41" s="10" t="s">
        <v>134</v>
      </c>
      <c r="M41" s="10" t="s">
        <v>74</v>
      </c>
      <c r="N41" s="10" t="s">
        <v>75</v>
      </c>
      <c r="O41" s="4" t="s">
        <v>241</v>
      </c>
      <c r="P41" s="11" t="s">
        <v>77</v>
      </c>
      <c r="Q41" s="11" t="s">
        <v>36</v>
      </c>
      <c r="R41" s="23" t="s">
        <v>242</v>
      </c>
      <c r="S41" s="4" t="s">
        <v>241</v>
      </c>
      <c r="U41" s="64" t="s">
        <v>1542</v>
      </c>
    </row>
    <row r="42" spans="1:21" ht="39.6">
      <c r="A42" s="23" t="s">
        <v>243</v>
      </c>
      <c r="B42" s="5" t="s">
        <v>236</v>
      </c>
      <c r="C42" s="11" t="str">
        <f t="shared" si="1"/>
        <v>FOA - Gestión Integral Mojana - Ret SW</v>
      </c>
      <c r="D42" s="5" t="s">
        <v>237</v>
      </c>
      <c r="E42" s="5" t="s">
        <v>48</v>
      </c>
      <c r="F42" s="5" t="s">
        <v>238</v>
      </c>
      <c r="G42" s="5" t="s">
        <v>50</v>
      </c>
      <c r="H42" s="11" t="str">
        <f>_xlfn.IFNA(VLOOKUP(F42,clientes!A:B,2,FALSE()),"--")</f>
        <v>Fondo Adaptación</v>
      </c>
      <c r="I42" s="5" t="s">
        <v>71</v>
      </c>
      <c r="J42" s="6" t="s">
        <v>239</v>
      </c>
      <c r="K42" s="4" t="s">
        <v>240</v>
      </c>
      <c r="L42" s="10" t="s">
        <v>134</v>
      </c>
      <c r="M42" s="10" t="s">
        <v>74</v>
      </c>
      <c r="N42" s="10" t="s">
        <v>75</v>
      </c>
      <c r="O42" s="4" t="s">
        <v>241</v>
      </c>
      <c r="P42" s="11" t="s">
        <v>77</v>
      </c>
      <c r="Q42" s="11" t="s">
        <v>36</v>
      </c>
      <c r="R42" s="23" t="s">
        <v>242</v>
      </c>
      <c r="S42" s="10" t="s">
        <v>37</v>
      </c>
      <c r="U42" s="65" t="s">
        <v>1543</v>
      </c>
    </row>
    <row r="43" spans="1:21" ht="39.6">
      <c r="A43" s="23" t="s">
        <v>244</v>
      </c>
      <c r="B43" s="5" t="s">
        <v>236</v>
      </c>
      <c r="C43" s="11" t="str">
        <f t="shared" si="1"/>
        <v>FOA - Gestión Integral Mojana - Cloud</v>
      </c>
      <c r="D43" s="5" t="s">
        <v>237</v>
      </c>
      <c r="E43" s="5" t="s">
        <v>68</v>
      </c>
      <c r="F43" s="5" t="s">
        <v>238</v>
      </c>
      <c r="G43" s="4" t="s">
        <v>70</v>
      </c>
      <c r="H43" s="11" t="str">
        <f>_xlfn.IFNA(VLOOKUP(F43,clientes!A:B,2,FALSE()),"--")</f>
        <v>Fondo Adaptación</v>
      </c>
      <c r="I43" s="5" t="s">
        <v>71</v>
      </c>
      <c r="J43" s="6" t="s">
        <v>239</v>
      </c>
      <c r="K43" s="4" t="s">
        <v>240</v>
      </c>
      <c r="L43" s="10" t="s">
        <v>134</v>
      </c>
      <c r="M43" s="10" t="s">
        <v>74</v>
      </c>
      <c r="N43" s="10" t="s">
        <v>75</v>
      </c>
      <c r="O43" s="4" t="s">
        <v>241</v>
      </c>
      <c r="P43" s="11" t="s">
        <v>77</v>
      </c>
      <c r="Q43" s="11" t="s">
        <v>36</v>
      </c>
      <c r="R43" s="23" t="s">
        <v>242</v>
      </c>
      <c r="S43" s="10" t="s">
        <v>37</v>
      </c>
      <c r="U43" s="64" t="s">
        <v>1544</v>
      </c>
    </row>
    <row r="44" spans="1:21" ht="13.15">
      <c r="A44" s="23" t="s">
        <v>245</v>
      </c>
      <c r="B44" s="5" t="s">
        <v>246</v>
      </c>
      <c r="C44" s="11" t="str">
        <f t="shared" si="1"/>
        <v>GLO - SmartCash - Operación - Cloud</v>
      </c>
      <c r="D44" s="5" t="s">
        <v>47</v>
      </c>
      <c r="E44" s="5" t="s">
        <v>68</v>
      </c>
      <c r="F44" s="5" t="s">
        <v>247</v>
      </c>
      <c r="G44" s="4" t="s">
        <v>70</v>
      </c>
      <c r="H44" s="11" t="str">
        <f>_xlfn.IFNA(VLOOKUP(F44,clientes!A:B,2,FALSE()),"--")</f>
        <v>Global Securities</v>
      </c>
      <c r="I44" s="5" t="s">
        <v>71</v>
      </c>
      <c r="J44" s="9" t="s">
        <v>248</v>
      </c>
      <c r="K44" s="8" t="s">
        <v>249</v>
      </c>
      <c r="L44" s="10" t="s">
        <v>73</v>
      </c>
      <c r="M44" s="10" t="s">
        <v>95</v>
      </c>
      <c r="N44" s="10" t="s">
        <v>75</v>
      </c>
      <c r="O44" s="4" t="s">
        <v>107</v>
      </c>
      <c r="P44" s="11" t="s">
        <v>77</v>
      </c>
      <c r="Q44" s="11" t="s">
        <v>57</v>
      </c>
      <c r="R44" s="23">
        <v>55154</v>
      </c>
      <c r="S44" s="10" t="s">
        <v>37</v>
      </c>
      <c r="U44" s="65" t="s">
        <v>1545</v>
      </c>
    </row>
    <row r="45" spans="1:21" ht="52.9">
      <c r="A45" s="23" t="s">
        <v>250</v>
      </c>
      <c r="B45" s="5" t="s">
        <v>251</v>
      </c>
      <c r="C45" s="11" t="str">
        <f t="shared" si="1"/>
        <v>ICF - Evolución Datalake Fase1 2025 - Fixed</v>
      </c>
      <c r="D45" s="5" t="s">
        <v>252</v>
      </c>
      <c r="E45" s="5" t="s">
        <v>80</v>
      </c>
      <c r="F45" s="5" t="s">
        <v>253</v>
      </c>
      <c r="G45" s="5" t="s">
        <v>81</v>
      </c>
      <c r="H45" s="11" t="str">
        <f>_xlfn.IFNA(VLOOKUP(F45,clientes!A:B,2,FALSE()),"--")</f>
        <v>Instituto Colombiano Para La Evaluacion De La Educacion ICFES</v>
      </c>
      <c r="I45" s="5" t="s">
        <v>71</v>
      </c>
      <c r="J45" s="12" t="s">
        <v>254</v>
      </c>
      <c r="K45" s="4" t="s">
        <v>255</v>
      </c>
      <c r="L45" s="10" t="s">
        <v>134</v>
      </c>
      <c r="M45" s="10" t="s">
        <v>135</v>
      </c>
      <c r="N45" s="10" t="s">
        <v>201</v>
      </c>
      <c r="O45" s="4" t="s">
        <v>256</v>
      </c>
      <c r="P45" s="11" t="s">
        <v>77</v>
      </c>
      <c r="Q45" s="11" t="s">
        <v>36</v>
      </c>
      <c r="R45" s="23" t="s">
        <v>257</v>
      </c>
      <c r="S45" s="4" t="s">
        <v>256</v>
      </c>
      <c r="U45" s="64" t="s">
        <v>1546</v>
      </c>
    </row>
    <row r="46" spans="1:21" ht="52.9">
      <c r="A46" s="23" t="s">
        <v>258</v>
      </c>
      <c r="B46" s="5" t="s">
        <v>251</v>
      </c>
      <c r="C46" s="11" t="str">
        <f t="shared" si="1"/>
        <v>ICF - Evolución Datalake Fase1 2025 - Ret</v>
      </c>
      <c r="D46" s="5" t="s">
        <v>252</v>
      </c>
      <c r="E46" s="5" t="s">
        <v>60</v>
      </c>
      <c r="F46" s="5" t="s">
        <v>253</v>
      </c>
      <c r="G46" s="5" t="s">
        <v>61</v>
      </c>
      <c r="H46" s="11" t="str">
        <f>_xlfn.IFNA(VLOOKUP(F46,clientes!A:B,2,FALSE()),"--")</f>
        <v>Instituto Colombiano Para La Evaluacion De La Educacion ICFES</v>
      </c>
      <c r="I46" s="5" t="s">
        <v>71</v>
      </c>
      <c r="J46" s="12" t="s">
        <v>254</v>
      </c>
      <c r="K46" s="4" t="s">
        <v>255</v>
      </c>
      <c r="L46" s="10" t="s">
        <v>134</v>
      </c>
      <c r="M46" s="10" t="s">
        <v>135</v>
      </c>
      <c r="N46" s="10" t="s">
        <v>201</v>
      </c>
      <c r="O46" s="4" t="s">
        <v>256</v>
      </c>
      <c r="P46" s="11" t="s">
        <v>77</v>
      </c>
      <c r="Q46" s="11" t="s">
        <v>36</v>
      </c>
      <c r="R46" s="23" t="s">
        <v>257</v>
      </c>
      <c r="S46" s="4" t="s">
        <v>256</v>
      </c>
      <c r="U46" s="65" t="s">
        <v>1547</v>
      </c>
    </row>
    <row r="47" spans="1:21" ht="52.9">
      <c r="A47" s="23" t="s">
        <v>259</v>
      </c>
      <c r="B47" s="5" t="s">
        <v>251</v>
      </c>
      <c r="C47" s="11" t="str">
        <f t="shared" si="1"/>
        <v>ICF - Evolución Datalake Fase1 2025 - Cloud</v>
      </c>
      <c r="D47" s="5" t="s">
        <v>252</v>
      </c>
      <c r="E47" s="5" t="s">
        <v>68</v>
      </c>
      <c r="F47" s="5" t="s">
        <v>253</v>
      </c>
      <c r="G47" s="4" t="s">
        <v>70</v>
      </c>
      <c r="H47" s="11" t="str">
        <f>_xlfn.IFNA(VLOOKUP(F47,clientes!A:B,2,FALSE()),"--")</f>
        <v>Instituto Colombiano Para La Evaluacion De La Educacion ICFES</v>
      </c>
      <c r="I47" s="5" t="s">
        <v>71</v>
      </c>
      <c r="J47" s="12" t="s">
        <v>254</v>
      </c>
      <c r="K47" s="4" t="s">
        <v>255</v>
      </c>
      <c r="L47" s="10" t="s">
        <v>134</v>
      </c>
      <c r="M47" s="10" t="s">
        <v>135</v>
      </c>
      <c r="N47" s="10" t="s">
        <v>201</v>
      </c>
      <c r="O47" s="4" t="s">
        <v>256</v>
      </c>
      <c r="P47" s="11" t="s">
        <v>77</v>
      </c>
      <c r="Q47" s="11" t="s">
        <v>36</v>
      </c>
      <c r="R47" s="23" t="s">
        <v>257</v>
      </c>
      <c r="S47" s="10" t="s">
        <v>37</v>
      </c>
      <c r="U47" s="64" t="s">
        <v>1548</v>
      </c>
    </row>
    <row r="48" spans="1:21" ht="52.9">
      <c r="A48" s="23" t="s">
        <v>260</v>
      </c>
      <c r="B48" s="5" t="s">
        <v>251</v>
      </c>
      <c r="C48" s="11" t="str">
        <f t="shared" si="1"/>
        <v>ICF - Evolución Datalake Fase1 2025 - Ret SW</v>
      </c>
      <c r="D48" s="5" t="s">
        <v>252</v>
      </c>
      <c r="E48" s="5" t="s">
        <v>48</v>
      </c>
      <c r="F48" s="5" t="s">
        <v>253</v>
      </c>
      <c r="G48" s="5" t="s">
        <v>50</v>
      </c>
      <c r="H48" s="11" t="str">
        <f>_xlfn.IFNA(VLOOKUP(F48,clientes!A:B,2,FALSE()),"--")</f>
        <v>Instituto Colombiano Para La Evaluacion De La Educacion ICFES</v>
      </c>
      <c r="I48" s="5" t="s">
        <v>71</v>
      </c>
      <c r="J48" s="12" t="s">
        <v>254</v>
      </c>
      <c r="K48" s="4" t="s">
        <v>255</v>
      </c>
      <c r="L48" s="10" t="s">
        <v>134</v>
      </c>
      <c r="M48" s="10" t="s">
        <v>135</v>
      </c>
      <c r="N48" s="10" t="s">
        <v>201</v>
      </c>
      <c r="O48" s="4" t="s">
        <v>256</v>
      </c>
      <c r="P48" s="11" t="s">
        <v>77</v>
      </c>
      <c r="Q48" s="11" t="s">
        <v>36</v>
      </c>
      <c r="R48" s="23" t="s">
        <v>257</v>
      </c>
      <c r="S48" s="10" t="s">
        <v>37</v>
      </c>
      <c r="U48" s="65" t="s">
        <v>1549</v>
      </c>
    </row>
    <row r="49" spans="1:21" ht="13.15">
      <c r="A49" s="22" t="s">
        <v>261</v>
      </c>
      <c r="B49" s="5" t="s">
        <v>262</v>
      </c>
      <c r="C49" s="11" t="str">
        <f t="shared" si="1"/>
        <v>UNA - Laboratorios Virtuales - Cloud</v>
      </c>
      <c r="D49" s="5" t="s">
        <v>263</v>
      </c>
      <c r="E49" s="5" t="s">
        <v>68</v>
      </c>
      <c r="F49" s="5" t="s">
        <v>192</v>
      </c>
      <c r="G49" s="4" t="s">
        <v>70</v>
      </c>
      <c r="H49" s="11" t="str">
        <f>_xlfn.IFNA(VLOOKUP(F49,clientes!A:B,2,FALSE()),"--")</f>
        <v>Universidad Nacional de Colombia</v>
      </c>
      <c r="I49" s="5" t="s">
        <v>33</v>
      </c>
      <c r="J49" s="12" t="s">
        <v>193</v>
      </c>
      <c r="K49" s="4" t="s">
        <v>264</v>
      </c>
      <c r="L49" s="4" t="s">
        <v>53</v>
      </c>
      <c r="M49" s="10" t="s">
        <v>95</v>
      </c>
      <c r="N49" s="10" t="s">
        <v>136</v>
      </c>
      <c r="O49" s="4" t="s">
        <v>137</v>
      </c>
      <c r="P49" s="11" t="s">
        <v>77</v>
      </c>
      <c r="Q49" s="11" t="s">
        <v>36</v>
      </c>
      <c r="R49" s="22">
        <v>55195</v>
      </c>
      <c r="S49" s="4" t="s">
        <v>138</v>
      </c>
      <c r="U49" s="64"/>
    </row>
    <row r="50" spans="1:21" ht="13.15">
      <c r="A50" s="22" t="s">
        <v>265</v>
      </c>
      <c r="B50" s="5" t="s">
        <v>266</v>
      </c>
      <c r="C50" s="11" t="str">
        <f t="shared" si="1"/>
        <v>UNA - Editorial de UNAL - Cloud</v>
      </c>
      <c r="D50" s="5" t="s">
        <v>267</v>
      </c>
      <c r="E50" s="5" t="s">
        <v>68</v>
      </c>
      <c r="F50" s="5" t="s">
        <v>192</v>
      </c>
      <c r="G50" s="4" t="s">
        <v>70</v>
      </c>
      <c r="H50" s="11" t="str">
        <f>_xlfn.IFNA(VLOOKUP(F50,clientes!A:B,2,FALSE()),"--")</f>
        <v>Universidad Nacional de Colombia</v>
      </c>
      <c r="I50" s="5" t="s">
        <v>33</v>
      </c>
      <c r="J50" s="12" t="s">
        <v>193</v>
      </c>
      <c r="K50" s="19" t="s">
        <v>268</v>
      </c>
      <c r="L50" s="4" t="s">
        <v>53</v>
      </c>
      <c r="M50" s="10" t="s">
        <v>95</v>
      </c>
      <c r="N50" s="10" t="s">
        <v>136</v>
      </c>
      <c r="O50" s="4" t="s">
        <v>137</v>
      </c>
      <c r="P50" s="11" t="s">
        <v>35</v>
      </c>
      <c r="Q50" s="11" t="s">
        <v>36</v>
      </c>
      <c r="R50" s="22">
        <v>55185</v>
      </c>
      <c r="S50" s="10" t="s">
        <v>37</v>
      </c>
      <c r="U50" s="65"/>
    </row>
    <row r="51" spans="1:21" ht="13.15">
      <c r="A51" s="22" t="s">
        <v>269</v>
      </c>
      <c r="B51" s="5" t="s">
        <v>270</v>
      </c>
      <c r="C51" s="11" t="str">
        <f t="shared" si="1"/>
        <v>UNA - Repositorio - Cloud</v>
      </c>
      <c r="D51" s="5" t="s">
        <v>271</v>
      </c>
      <c r="E51" s="5" t="s">
        <v>68</v>
      </c>
      <c r="F51" s="5" t="s">
        <v>192</v>
      </c>
      <c r="G51" s="4" t="s">
        <v>70</v>
      </c>
      <c r="H51" s="11" t="str">
        <f>_xlfn.IFNA(VLOOKUP(F51,clientes!A:B,2,FALSE()),"--")</f>
        <v>Universidad Nacional de Colombia</v>
      </c>
      <c r="I51" s="5" t="s">
        <v>33</v>
      </c>
      <c r="J51" s="12" t="s">
        <v>193</v>
      </c>
      <c r="K51" s="19" t="s">
        <v>194</v>
      </c>
      <c r="L51" s="4" t="s">
        <v>53</v>
      </c>
      <c r="M51" s="10" t="s">
        <v>95</v>
      </c>
      <c r="N51" s="10" t="s">
        <v>136</v>
      </c>
      <c r="O51" s="4" t="s">
        <v>137</v>
      </c>
      <c r="P51" s="11" t="s">
        <v>35</v>
      </c>
      <c r="Q51" s="11" t="s">
        <v>36</v>
      </c>
      <c r="R51" s="22">
        <v>55200</v>
      </c>
      <c r="S51" s="10" t="s">
        <v>37</v>
      </c>
      <c r="U51" s="64"/>
    </row>
    <row r="52" spans="1:21" ht="13.15">
      <c r="A52" s="22" t="s">
        <v>272</v>
      </c>
      <c r="B52" s="5" t="s">
        <v>273</v>
      </c>
      <c r="C52" s="11" t="str">
        <f t="shared" si="1"/>
        <v>UNA - HPC Registro y Matrícula - Cloud</v>
      </c>
      <c r="D52" s="5" t="s">
        <v>274</v>
      </c>
      <c r="E52" s="5" t="s">
        <v>68</v>
      </c>
      <c r="F52" s="5" t="s">
        <v>192</v>
      </c>
      <c r="G52" s="4" t="s">
        <v>70</v>
      </c>
      <c r="H52" s="11" t="str">
        <f>_xlfn.IFNA(VLOOKUP(F52,clientes!A:B,2,FALSE()),"--")</f>
        <v>Universidad Nacional de Colombia</v>
      </c>
      <c r="I52" s="5" t="s">
        <v>33</v>
      </c>
      <c r="J52" s="12" t="s">
        <v>193</v>
      </c>
      <c r="K52" s="19" t="s">
        <v>275</v>
      </c>
      <c r="L52" s="4" t="s">
        <v>53</v>
      </c>
      <c r="M52" s="10" t="s">
        <v>95</v>
      </c>
      <c r="N52" s="10" t="s">
        <v>136</v>
      </c>
      <c r="O52" s="4" t="s">
        <v>137</v>
      </c>
      <c r="P52" s="11" t="s">
        <v>35</v>
      </c>
      <c r="Q52" s="11" t="s">
        <v>36</v>
      </c>
      <c r="R52" s="22">
        <v>55194</v>
      </c>
      <c r="S52" s="10" t="s">
        <v>37</v>
      </c>
      <c r="U52" s="65"/>
    </row>
    <row r="53" spans="1:21" ht="39.6">
      <c r="A53" s="23" t="s">
        <v>276</v>
      </c>
      <c r="B53" s="5" t="s">
        <v>277</v>
      </c>
      <c r="C53" s="11" t="str">
        <f t="shared" si="1"/>
        <v>MTC - Ciudades y territorios inteligentes Mintic - Ret</v>
      </c>
      <c r="D53" s="5" t="s">
        <v>278</v>
      </c>
      <c r="E53" s="5" t="s">
        <v>60</v>
      </c>
      <c r="F53" s="5" t="s">
        <v>279</v>
      </c>
      <c r="G53" s="5" t="s">
        <v>61</v>
      </c>
      <c r="H53" s="11" t="str">
        <f>_xlfn.IFNA(VLOOKUP(F53,clientes!A:B,2,FALSE()),"--")</f>
        <v>MinTic</v>
      </c>
      <c r="I53" s="5" t="s">
        <v>71</v>
      </c>
      <c r="J53" s="12" t="s">
        <v>280</v>
      </c>
      <c r="K53" s="19" t="s">
        <v>281</v>
      </c>
      <c r="L53" s="10" t="s">
        <v>282</v>
      </c>
      <c r="M53" s="10" t="s">
        <v>74</v>
      </c>
      <c r="N53" s="10" t="s">
        <v>136</v>
      </c>
      <c r="O53" s="4" t="s">
        <v>137</v>
      </c>
      <c r="P53" s="11" t="s">
        <v>77</v>
      </c>
      <c r="Q53" s="11" t="s">
        <v>36</v>
      </c>
      <c r="R53" s="23" t="s">
        <v>283</v>
      </c>
      <c r="S53" s="10" t="s">
        <v>64</v>
      </c>
      <c r="U53" s="64" t="s">
        <v>1550</v>
      </c>
    </row>
    <row r="54" spans="1:21" ht="39.6">
      <c r="A54" s="23" t="s">
        <v>284</v>
      </c>
      <c r="B54" s="5" t="s">
        <v>277</v>
      </c>
      <c r="C54" s="11" t="str">
        <f t="shared" si="1"/>
        <v>MTC - Ciudades y territorios inteligentes Mintic - Fixed</v>
      </c>
      <c r="D54" s="5" t="s">
        <v>278</v>
      </c>
      <c r="E54" s="5" t="s">
        <v>80</v>
      </c>
      <c r="F54" s="5" t="s">
        <v>279</v>
      </c>
      <c r="G54" s="5" t="s">
        <v>81</v>
      </c>
      <c r="H54" s="11" t="str">
        <f>_xlfn.IFNA(VLOOKUP(F54,clientes!A:B,2,FALSE()),"--")</f>
        <v>MinTic</v>
      </c>
      <c r="I54" s="5" t="s">
        <v>71</v>
      </c>
      <c r="J54" s="12" t="s">
        <v>280</v>
      </c>
      <c r="K54" s="19" t="s">
        <v>281</v>
      </c>
      <c r="L54" s="10" t="s">
        <v>282</v>
      </c>
      <c r="M54" s="10" t="s">
        <v>74</v>
      </c>
      <c r="N54" s="10" t="s">
        <v>136</v>
      </c>
      <c r="O54" s="4" t="s">
        <v>137</v>
      </c>
      <c r="P54" s="11" t="s">
        <v>77</v>
      </c>
      <c r="Q54" s="11" t="s">
        <v>36</v>
      </c>
      <c r="R54" s="23" t="s">
        <v>283</v>
      </c>
      <c r="S54" s="10" t="s">
        <v>138</v>
      </c>
      <c r="U54" s="65" t="s">
        <v>1551</v>
      </c>
    </row>
    <row r="55" spans="1:21" ht="39.6">
      <c r="A55" s="23" t="s">
        <v>285</v>
      </c>
      <c r="B55" s="5" t="s">
        <v>277</v>
      </c>
      <c r="C55" s="11" t="str">
        <f t="shared" si="1"/>
        <v>MTC - Ciudades y territorios inteligentes Mintic - Cloud</v>
      </c>
      <c r="D55" s="5" t="s">
        <v>278</v>
      </c>
      <c r="E55" s="5" t="s">
        <v>68</v>
      </c>
      <c r="F55" s="5" t="s">
        <v>279</v>
      </c>
      <c r="G55" s="4" t="s">
        <v>70</v>
      </c>
      <c r="H55" s="11" t="str">
        <f>_xlfn.IFNA(VLOOKUP(F55,clientes!A:B,2,FALSE()),"--")</f>
        <v>MinTic</v>
      </c>
      <c r="I55" s="5" t="s">
        <v>71</v>
      </c>
      <c r="J55" s="12" t="s">
        <v>280</v>
      </c>
      <c r="K55" s="19" t="s">
        <v>281</v>
      </c>
      <c r="L55" s="10" t="s">
        <v>282</v>
      </c>
      <c r="M55" s="10" t="s">
        <v>74</v>
      </c>
      <c r="N55" s="10" t="s">
        <v>136</v>
      </c>
      <c r="O55" s="4" t="s">
        <v>137</v>
      </c>
      <c r="P55" s="11" t="s">
        <v>77</v>
      </c>
      <c r="Q55" s="11" t="s">
        <v>36</v>
      </c>
      <c r="R55" s="23" t="s">
        <v>283</v>
      </c>
      <c r="S55" s="10" t="s">
        <v>37</v>
      </c>
      <c r="U55" s="64" t="s">
        <v>1552</v>
      </c>
    </row>
    <row r="56" spans="1:21" ht="26.45">
      <c r="A56" s="23" t="s">
        <v>286</v>
      </c>
      <c r="B56" s="5" t="s">
        <v>287</v>
      </c>
      <c r="C56" s="11" t="str">
        <f t="shared" si="1"/>
        <v>MTC - Microcentros AI - Ret</v>
      </c>
      <c r="D56" s="5" t="s">
        <v>288</v>
      </c>
      <c r="E56" s="5" t="s">
        <v>60</v>
      </c>
      <c r="F56" s="5" t="s">
        <v>279</v>
      </c>
      <c r="G56" s="5" t="s">
        <v>61</v>
      </c>
      <c r="H56" s="11" t="str">
        <f>_xlfn.IFNA(VLOOKUP(F56,clientes!A:B,2,FALSE()),"--")</f>
        <v>MinTic</v>
      </c>
      <c r="I56" s="5" t="s">
        <v>71</v>
      </c>
      <c r="J56" s="12" t="s">
        <v>280</v>
      </c>
      <c r="K56" s="19" t="s">
        <v>289</v>
      </c>
      <c r="L56" s="10" t="s">
        <v>282</v>
      </c>
      <c r="M56" s="10" t="s">
        <v>74</v>
      </c>
      <c r="N56" s="10" t="s">
        <v>75</v>
      </c>
      <c r="O56" s="4" t="s">
        <v>96</v>
      </c>
      <c r="P56" s="11" t="s">
        <v>77</v>
      </c>
      <c r="Q56" s="11" t="s">
        <v>36</v>
      </c>
      <c r="R56" s="23" t="s">
        <v>290</v>
      </c>
      <c r="S56" s="10" t="s">
        <v>64</v>
      </c>
      <c r="U56" s="65" t="s">
        <v>1553</v>
      </c>
    </row>
    <row r="57" spans="1:21" ht="26.45">
      <c r="A57" s="23" t="s">
        <v>291</v>
      </c>
      <c r="B57" s="5" t="s">
        <v>287</v>
      </c>
      <c r="C57" s="11" t="str">
        <f t="shared" si="1"/>
        <v>MTC - Microcentros AI - Cloud</v>
      </c>
      <c r="D57" s="5" t="s">
        <v>288</v>
      </c>
      <c r="E57" s="5" t="s">
        <v>68</v>
      </c>
      <c r="F57" s="5" t="s">
        <v>279</v>
      </c>
      <c r="G57" s="4" t="s">
        <v>70</v>
      </c>
      <c r="H57" s="11" t="str">
        <f>_xlfn.IFNA(VLOOKUP(F57,clientes!A:B,2,FALSE()),"--")</f>
        <v>MinTic</v>
      </c>
      <c r="I57" s="5" t="s">
        <v>71</v>
      </c>
      <c r="J57" s="12" t="s">
        <v>280</v>
      </c>
      <c r="K57" s="19" t="s">
        <v>289</v>
      </c>
      <c r="L57" s="10" t="s">
        <v>282</v>
      </c>
      <c r="M57" s="10" t="s">
        <v>74</v>
      </c>
      <c r="N57" s="10" t="s">
        <v>75</v>
      </c>
      <c r="O57" s="4" t="s">
        <v>96</v>
      </c>
      <c r="P57" s="11" t="s">
        <v>77</v>
      </c>
      <c r="Q57" s="11" t="s">
        <v>36</v>
      </c>
      <c r="R57" s="23" t="s">
        <v>290</v>
      </c>
      <c r="S57" s="10" t="s">
        <v>37</v>
      </c>
      <c r="U57" s="64" t="s">
        <v>1554</v>
      </c>
    </row>
    <row r="58" spans="1:21" ht="13.15">
      <c r="A58" s="22" t="s">
        <v>292</v>
      </c>
      <c r="B58" s="5" t="s">
        <v>293</v>
      </c>
      <c r="C58" s="11" t="str">
        <f t="shared" si="1"/>
        <v>SAN - Soporte y Mantenimiento Quipu 2024-25 - Ret</v>
      </c>
      <c r="D58" s="5" t="s">
        <v>294</v>
      </c>
      <c r="E58" s="5" t="s">
        <v>60</v>
      </c>
      <c r="F58" s="5" t="s">
        <v>295</v>
      </c>
      <c r="G58" s="5" t="s">
        <v>61</v>
      </c>
      <c r="H58" s="11" t="str">
        <f>_xlfn.IFNA(VLOOKUP(F58,clientes!A:B,2,FALSE()),"--")</f>
        <v>Sanidad</v>
      </c>
      <c r="I58" s="5" t="s">
        <v>71</v>
      </c>
      <c r="J58" s="6" t="s">
        <v>296</v>
      </c>
      <c r="K58" s="4" t="s">
        <v>297</v>
      </c>
      <c r="L58" s="10" t="s">
        <v>134</v>
      </c>
      <c r="M58" s="10" t="s">
        <v>145</v>
      </c>
      <c r="N58" s="10" t="s">
        <v>75</v>
      </c>
      <c r="O58" s="4" t="s">
        <v>298</v>
      </c>
      <c r="P58" s="11" t="s">
        <v>77</v>
      </c>
      <c r="Q58" s="11" t="s">
        <v>299</v>
      </c>
      <c r="R58" s="22">
        <v>55171</v>
      </c>
      <c r="S58" s="10" t="s">
        <v>64</v>
      </c>
      <c r="U58" s="65" t="s">
        <v>1555</v>
      </c>
    </row>
    <row r="59" spans="1:21" ht="39.6">
      <c r="A59" s="23" t="s">
        <v>300</v>
      </c>
      <c r="B59" s="5" t="s">
        <v>301</v>
      </c>
      <c r="C59" s="11" t="str">
        <f t="shared" si="1"/>
        <v>SDH - Datalake Secretaria del Hábitat - Ret SW</v>
      </c>
      <c r="D59" s="5" t="s">
        <v>302</v>
      </c>
      <c r="E59" s="5" t="s">
        <v>48</v>
      </c>
      <c r="F59" s="5" t="s">
        <v>303</v>
      </c>
      <c r="G59" s="5" t="s">
        <v>50</v>
      </c>
      <c r="H59" s="11" t="str">
        <f>_xlfn.IFNA(VLOOKUP(F59,clientes!A:B,2,FALSE()),"--")</f>
        <v>Secretaria Distrital del Hábitat</v>
      </c>
      <c r="I59" s="5" t="s">
        <v>71</v>
      </c>
      <c r="J59" s="6" t="s">
        <v>304</v>
      </c>
      <c r="K59" s="4" t="s">
        <v>305</v>
      </c>
      <c r="L59" s="10" t="s">
        <v>124</v>
      </c>
      <c r="M59" s="10" t="s">
        <v>95</v>
      </c>
      <c r="N59" s="10" t="s">
        <v>201</v>
      </c>
      <c r="O59" s="4" t="s">
        <v>256</v>
      </c>
      <c r="P59" s="11" t="s">
        <v>77</v>
      </c>
      <c r="Q59" s="11" t="s">
        <v>36</v>
      </c>
      <c r="R59" s="23" t="s">
        <v>306</v>
      </c>
      <c r="S59" s="10" t="s">
        <v>37</v>
      </c>
      <c r="U59" s="64" t="s">
        <v>1556</v>
      </c>
    </row>
    <row r="60" spans="1:21" ht="39.6">
      <c r="A60" s="23" t="s">
        <v>307</v>
      </c>
      <c r="B60" s="5" t="s">
        <v>301</v>
      </c>
      <c r="C60" s="11" t="str">
        <f t="shared" si="1"/>
        <v>SDH - Datalake Secretaria del Hábitat - Cloud</v>
      </c>
      <c r="D60" s="5" t="s">
        <v>302</v>
      </c>
      <c r="E60" s="5" t="s">
        <v>68</v>
      </c>
      <c r="F60" s="5" t="s">
        <v>303</v>
      </c>
      <c r="G60" s="4" t="s">
        <v>70</v>
      </c>
      <c r="H60" s="11" t="str">
        <f>_xlfn.IFNA(VLOOKUP(F60,clientes!A:B,2,FALSE()),"--")</f>
        <v>Secretaria Distrital del Hábitat</v>
      </c>
      <c r="I60" s="5" t="s">
        <v>71</v>
      </c>
      <c r="J60" s="6" t="s">
        <v>304</v>
      </c>
      <c r="K60" s="4" t="s">
        <v>305</v>
      </c>
      <c r="L60" s="10" t="s">
        <v>124</v>
      </c>
      <c r="M60" s="10" t="s">
        <v>95</v>
      </c>
      <c r="N60" s="10" t="s">
        <v>201</v>
      </c>
      <c r="O60" s="4" t="s">
        <v>256</v>
      </c>
      <c r="P60" s="11" t="s">
        <v>77</v>
      </c>
      <c r="Q60" s="11" t="s">
        <v>36</v>
      </c>
      <c r="R60" s="23" t="s">
        <v>306</v>
      </c>
      <c r="S60" s="10" t="s">
        <v>37</v>
      </c>
      <c r="U60" s="65" t="s">
        <v>1557</v>
      </c>
    </row>
    <row r="61" spans="1:21" ht="39.6">
      <c r="A61" s="23" t="s">
        <v>308</v>
      </c>
      <c r="B61" s="5" t="s">
        <v>301</v>
      </c>
      <c r="C61" s="11" t="str">
        <f t="shared" si="1"/>
        <v>SDH - Datalake Secretaria del Hábitat - Ret</v>
      </c>
      <c r="D61" s="5" t="s">
        <v>302</v>
      </c>
      <c r="E61" s="5" t="s">
        <v>60</v>
      </c>
      <c r="F61" s="5" t="s">
        <v>303</v>
      </c>
      <c r="G61" s="5" t="s">
        <v>61</v>
      </c>
      <c r="H61" s="11" t="str">
        <f>_xlfn.IFNA(VLOOKUP(F61,clientes!A:B,2,FALSE()),"--")</f>
        <v>Secretaria Distrital del Hábitat</v>
      </c>
      <c r="I61" s="5" t="s">
        <v>71</v>
      </c>
      <c r="J61" s="6" t="s">
        <v>304</v>
      </c>
      <c r="K61" s="4" t="s">
        <v>305</v>
      </c>
      <c r="L61" s="10" t="s">
        <v>124</v>
      </c>
      <c r="M61" s="10" t="s">
        <v>95</v>
      </c>
      <c r="N61" s="10" t="s">
        <v>201</v>
      </c>
      <c r="O61" s="4" t="s">
        <v>256</v>
      </c>
      <c r="P61" s="11" t="s">
        <v>77</v>
      </c>
      <c r="Q61" s="11" t="s">
        <v>36</v>
      </c>
      <c r="R61" s="23" t="s">
        <v>306</v>
      </c>
      <c r="S61" s="10" t="s">
        <v>64</v>
      </c>
      <c r="U61" s="64" t="s">
        <v>1558</v>
      </c>
    </row>
    <row r="62" spans="1:21" ht="26.45">
      <c r="A62" s="23" t="s">
        <v>309</v>
      </c>
      <c r="B62" s="5" t="s">
        <v>310</v>
      </c>
      <c r="C62" s="11" t="str">
        <f t="shared" si="1"/>
        <v>SOC - IA Sociedades 2024-2025 - Cloud</v>
      </c>
      <c r="D62" s="5" t="s">
        <v>311</v>
      </c>
      <c r="E62" s="5" t="s">
        <v>68</v>
      </c>
      <c r="F62" s="5" t="s">
        <v>312</v>
      </c>
      <c r="G62" s="4" t="s">
        <v>70</v>
      </c>
      <c r="H62" s="11" t="str">
        <f>_xlfn.IFNA(VLOOKUP(F62,clientes!A:B,2,FALSE()),"--")</f>
        <v>Superintendencia de Sociedades</v>
      </c>
      <c r="I62" s="5" t="s">
        <v>71</v>
      </c>
      <c r="J62" s="12" t="s">
        <v>313</v>
      </c>
      <c r="K62" s="51" t="s">
        <v>314</v>
      </c>
      <c r="L62" s="4" t="s">
        <v>315</v>
      </c>
      <c r="M62" s="10" t="s">
        <v>145</v>
      </c>
      <c r="N62" s="10" t="s">
        <v>75</v>
      </c>
      <c r="O62" s="4" t="s">
        <v>56</v>
      </c>
      <c r="P62" s="11" t="s">
        <v>77</v>
      </c>
      <c r="Q62" s="54" t="s">
        <v>57</v>
      </c>
      <c r="R62" s="23" t="s">
        <v>316</v>
      </c>
      <c r="S62" s="10" t="s">
        <v>37</v>
      </c>
      <c r="U62" s="65" t="s">
        <v>1559</v>
      </c>
    </row>
    <row r="63" spans="1:21" ht="26.45">
      <c r="A63" s="23" t="s">
        <v>317</v>
      </c>
      <c r="B63" s="5" t="s">
        <v>310</v>
      </c>
      <c r="C63" s="11" t="str">
        <f t="shared" si="1"/>
        <v>SOC - IA Sociedades 2024-2025 - Ret</v>
      </c>
      <c r="D63" s="5" t="s">
        <v>311</v>
      </c>
      <c r="E63" s="5" t="s">
        <v>60</v>
      </c>
      <c r="F63" s="5" t="s">
        <v>312</v>
      </c>
      <c r="G63" s="5" t="s">
        <v>61</v>
      </c>
      <c r="H63" s="11" t="str">
        <f>_xlfn.IFNA(VLOOKUP(F63,clientes!A:B,2,FALSE()),"--")</f>
        <v>Superintendencia de Sociedades</v>
      </c>
      <c r="I63" s="5" t="s">
        <v>71</v>
      </c>
      <c r="J63" s="12" t="s">
        <v>313</v>
      </c>
      <c r="K63" s="51" t="s">
        <v>314</v>
      </c>
      <c r="L63" s="4" t="s">
        <v>315</v>
      </c>
      <c r="M63" s="10" t="s">
        <v>145</v>
      </c>
      <c r="N63" s="10" t="s">
        <v>75</v>
      </c>
      <c r="O63" s="4" t="s">
        <v>56</v>
      </c>
      <c r="P63" s="11" t="s">
        <v>77</v>
      </c>
      <c r="Q63" s="54" t="s">
        <v>57</v>
      </c>
      <c r="R63" s="23" t="s">
        <v>316</v>
      </c>
      <c r="S63" s="10" t="s">
        <v>64</v>
      </c>
      <c r="U63" s="64" t="s">
        <v>1560</v>
      </c>
    </row>
    <row r="64" spans="1:21" ht="52.9">
      <c r="A64" s="23" t="s">
        <v>318</v>
      </c>
      <c r="B64" s="5" t="s">
        <v>196</v>
      </c>
      <c r="C64" s="11" t="str">
        <f t="shared" si="1"/>
        <v>CJU - Sistema integrado de Secretaría Técnica - Fixed</v>
      </c>
      <c r="D64" s="5" t="s">
        <v>197</v>
      </c>
      <c r="E64" s="5" t="s">
        <v>80</v>
      </c>
      <c r="F64" s="5" t="s">
        <v>198</v>
      </c>
      <c r="G64" s="5" t="s">
        <v>81</v>
      </c>
      <c r="H64" s="11" t="str">
        <f>_xlfn.IFNA(VLOOKUP(F64,clientes!A:B,2,FALSE()),"--")</f>
        <v>Coljuegos</v>
      </c>
      <c r="I64" s="5" t="s">
        <v>33</v>
      </c>
      <c r="J64" s="12" t="s">
        <v>199</v>
      </c>
      <c r="K64" s="27" t="s">
        <v>200</v>
      </c>
      <c r="L64" s="10" t="s">
        <v>134</v>
      </c>
      <c r="M64" s="10" t="s">
        <v>74</v>
      </c>
      <c r="N64" s="10" t="s">
        <v>201</v>
      </c>
      <c r="O64" s="10" t="s">
        <v>202</v>
      </c>
      <c r="P64" s="11" t="s">
        <v>35</v>
      </c>
      <c r="Q64" s="11" t="s">
        <v>36</v>
      </c>
      <c r="R64" s="23" t="s">
        <v>203</v>
      </c>
      <c r="S64" s="10" t="s">
        <v>202</v>
      </c>
      <c r="U64" s="65"/>
    </row>
    <row r="65" spans="1:22" ht="52.9">
      <c r="A65" s="23" t="s">
        <v>319</v>
      </c>
      <c r="B65" s="5" t="s">
        <v>196</v>
      </c>
      <c r="C65" s="11" t="str">
        <f t="shared" si="1"/>
        <v>CJU - Sistema integrado de Secretaría Técnica - Ret SW</v>
      </c>
      <c r="D65" s="5" t="s">
        <v>197</v>
      </c>
      <c r="E65" s="5" t="s">
        <v>48</v>
      </c>
      <c r="F65" s="5" t="s">
        <v>198</v>
      </c>
      <c r="G65" s="5" t="s">
        <v>50</v>
      </c>
      <c r="H65" s="11" t="str">
        <f>_xlfn.IFNA(VLOOKUP(F65,clientes!A:B,2,FALSE()),"--")</f>
        <v>Coljuegos</v>
      </c>
      <c r="I65" s="5" t="s">
        <v>33</v>
      </c>
      <c r="J65" s="12" t="s">
        <v>199</v>
      </c>
      <c r="K65" s="27" t="s">
        <v>200</v>
      </c>
      <c r="L65" s="10" t="s">
        <v>134</v>
      </c>
      <c r="M65" s="10" t="s">
        <v>74</v>
      </c>
      <c r="N65" s="10" t="s">
        <v>201</v>
      </c>
      <c r="O65" s="4" t="s">
        <v>202</v>
      </c>
      <c r="P65" s="11" t="s">
        <v>35</v>
      </c>
      <c r="Q65" s="11" t="s">
        <v>36</v>
      </c>
      <c r="R65" s="23" t="s">
        <v>203</v>
      </c>
      <c r="S65" s="10" t="s">
        <v>37</v>
      </c>
      <c r="U65" s="64"/>
    </row>
    <row r="66" spans="1:22" ht="52.9">
      <c r="A66" s="23" t="s">
        <v>320</v>
      </c>
      <c r="B66" s="5" t="s">
        <v>196</v>
      </c>
      <c r="C66" s="11" t="str">
        <f t="shared" si="1"/>
        <v>CJU - Sistema integrado de Secretaría Técnica - Cloud</v>
      </c>
      <c r="D66" s="5" t="s">
        <v>197</v>
      </c>
      <c r="E66" s="5" t="s">
        <v>68</v>
      </c>
      <c r="F66" s="5" t="s">
        <v>198</v>
      </c>
      <c r="G66" s="4" t="s">
        <v>70</v>
      </c>
      <c r="H66" s="11" t="str">
        <f>_xlfn.IFNA(VLOOKUP(F66,clientes!A:B,2,FALSE()),"--")</f>
        <v>Coljuegos</v>
      </c>
      <c r="I66" s="5" t="s">
        <v>33</v>
      </c>
      <c r="J66" s="12" t="s">
        <v>199</v>
      </c>
      <c r="K66" s="27" t="s">
        <v>200</v>
      </c>
      <c r="L66" s="10" t="s">
        <v>134</v>
      </c>
      <c r="M66" s="10" t="s">
        <v>74</v>
      </c>
      <c r="N66" s="10" t="s">
        <v>201</v>
      </c>
      <c r="O66" s="4" t="s">
        <v>202</v>
      </c>
      <c r="P66" s="11" t="s">
        <v>35</v>
      </c>
      <c r="Q66" s="11" t="s">
        <v>36</v>
      </c>
      <c r="R66" s="23" t="s">
        <v>203</v>
      </c>
      <c r="S66" s="10" t="s">
        <v>37</v>
      </c>
      <c r="U66" s="65"/>
    </row>
    <row r="67" spans="1:22" ht="13.15">
      <c r="A67" s="23" t="s">
        <v>321</v>
      </c>
      <c r="B67" s="5" t="s">
        <v>322</v>
      </c>
      <c r="C67" s="11" t="str">
        <f t="shared" ref="C67:C98" si="2">F67&amp;" - "&amp;D67&amp;" - "&amp;E67</f>
        <v>FDN - Servicios profesionales Arquitectura - Fixed</v>
      </c>
      <c r="D67" s="5" t="s">
        <v>323</v>
      </c>
      <c r="E67" s="5" t="s">
        <v>80</v>
      </c>
      <c r="F67" s="5" t="s">
        <v>231</v>
      </c>
      <c r="G67" s="5" t="s">
        <v>81</v>
      </c>
      <c r="H67" s="11" t="str">
        <f>_xlfn.IFNA(VLOOKUP(F67,clientes!A:B,2,FALSE()),"--")</f>
        <v>Financiera de Desarrollo Nacional</v>
      </c>
      <c r="I67" s="5" t="s">
        <v>33</v>
      </c>
      <c r="J67" s="12" t="s">
        <v>232</v>
      </c>
      <c r="K67" s="19" t="s">
        <v>324</v>
      </c>
      <c r="L67" s="10" t="s">
        <v>124</v>
      </c>
      <c r="M67" s="10" t="s">
        <v>95</v>
      </c>
      <c r="N67" s="10" t="s">
        <v>136</v>
      </c>
      <c r="O67" s="4" t="s">
        <v>137</v>
      </c>
      <c r="P67" s="11" t="s">
        <v>35</v>
      </c>
      <c r="Q67" s="11" t="s">
        <v>36</v>
      </c>
      <c r="R67" s="23" t="s">
        <v>325</v>
      </c>
      <c r="S67" s="10" t="s">
        <v>64</v>
      </c>
      <c r="U67" s="64"/>
    </row>
    <row r="68" spans="1:22" ht="13.15">
      <c r="A68" s="22" t="s">
        <v>328</v>
      </c>
      <c r="B68" s="5" t="s">
        <v>329</v>
      </c>
      <c r="C68" s="11" t="str">
        <f t="shared" si="2"/>
        <v>UCA - ODS 1512 - Soporte y Mtto Quipu 24-25 - Ret</v>
      </c>
      <c r="D68" s="5" t="s">
        <v>330</v>
      </c>
      <c r="E68" s="5" t="s">
        <v>60</v>
      </c>
      <c r="F68" s="5" t="s">
        <v>331</v>
      </c>
      <c r="G68" s="5" t="s">
        <v>61</v>
      </c>
      <c r="H68" s="11" t="str">
        <f>_xlfn.IFNA(VLOOKUP(F68,clientes!A:B,2,FALSE()),"--")</f>
        <v>Universidad de Caldas</v>
      </c>
      <c r="I68" s="5" t="s">
        <v>71</v>
      </c>
      <c r="J68" s="12" t="s">
        <v>332</v>
      </c>
      <c r="K68" s="4" t="s">
        <v>333</v>
      </c>
      <c r="L68" s="10" t="s">
        <v>73</v>
      </c>
      <c r="M68" s="10" t="s">
        <v>95</v>
      </c>
      <c r="N68" s="10" t="s">
        <v>75</v>
      </c>
      <c r="O68" s="4" t="s">
        <v>334</v>
      </c>
      <c r="P68" s="11" t="s">
        <v>77</v>
      </c>
      <c r="Q68" s="11" t="s">
        <v>335</v>
      </c>
      <c r="R68" s="22">
        <v>55181</v>
      </c>
      <c r="S68" s="4" t="s">
        <v>336</v>
      </c>
      <c r="U68" s="65" t="s">
        <v>1561</v>
      </c>
    </row>
    <row r="69" spans="1:22" ht="26.45">
      <c r="A69" s="23" t="s">
        <v>337</v>
      </c>
      <c r="B69" s="5" t="s">
        <v>338</v>
      </c>
      <c r="C69" s="11" t="str">
        <f t="shared" si="2"/>
        <v>MMN - Cloud Sistema de Recaudo - Fixed</v>
      </c>
      <c r="D69" s="5" t="s">
        <v>339</v>
      </c>
      <c r="E69" s="5" t="s">
        <v>80</v>
      </c>
      <c r="F69" s="5" t="s">
        <v>340</v>
      </c>
      <c r="G69" s="5" t="s">
        <v>81</v>
      </c>
      <c r="H69" s="11" t="str">
        <f>_xlfn.IFNA(VLOOKUP(F69,clientes!A:B,2,FALSE()),"--")</f>
        <v>Empresa De Transporte Masivo Del Valle De Aburrá Limitada</v>
      </c>
      <c r="I69" s="5" t="s">
        <v>33</v>
      </c>
      <c r="J69" s="6" t="s">
        <v>341</v>
      </c>
      <c r="K69" s="19" t="s">
        <v>342</v>
      </c>
      <c r="L69" s="10" t="s">
        <v>282</v>
      </c>
      <c r="M69" s="10" t="s">
        <v>157</v>
      </c>
      <c r="N69" s="10" t="s">
        <v>136</v>
      </c>
      <c r="O69" s="4" t="s">
        <v>137</v>
      </c>
      <c r="P69" s="11" t="s">
        <v>35</v>
      </c>
      <c r="Q69" s="11" t="s">
        <v>36</v>
      </c>
      <c r="R69" s="23" t="s">
        <v>343</v>
      </c>
      <c r="S69" s="4" t="s">
        <v>138</v>
      </c>
      <c r="U69" s="64"/>
    </row>
    <row r="70" spans="1:22" ht="14.45" customHeight="1">
      <c r="A70" s="23" t="s">
        <v>345</v>
      </c>
      <c r="B70" s="5" t="s">
        <v>338</v>
      </c>
      <c r="C70" s="11" t="str">
        <f t="shared" si="2"/>
        <v>MMN - Cloud Sistema de Recaudo - Cloud</v>
      </c>
      <c r="D70" s="5" t="s">
        <v>339</v>
      </c>
      <c r="E70" s="5" t="s">
        <v>68</v>
      </c>
      <c r="F70" s="5" t="s">
        <v>340</v>
      </c>
      <c r="G70" s="4" t="s">
        <v>70</v>
      </c>
      <c r="H70" s="11" t="str">
        <f>_xlfn.IFNA(VLOOKUP(F70,clientes!A:B,2,FALSE()),"--")</f>
        <v>Empresa De Transporte Masivo Del Valle De Aburrá Limitada</v>
      </c>
      <c r="I70" s="5" t="s">
        <v>33</v>
      </c>
      <c r="J70" s="6" t="s">
        <v>341</v>
      </c>
      <c r="K70" s="19" t="s">
        <v>342</v>
      </c>
      <c r="L70" s="10" t="s">
        <v>282</v>
      </c>
      <c r="M70" s="10" t="s">
        <v>157</v>
      </c>
      <c r="N70" s="10" t="s">
        <v>136</v>
      </c>
      <c r="O70" s="4" t="s">
        <v>137</v>
      </c>
      <c r="P70" s="11" t="s">
        <v>35</v>
      </c>
      <c r="Q70" s="11" t="s">
        <v>36</v>
      </c>
      <c r="R70" s="23" t="s">
        <v>343</v>
      </c>
      <c r="S70" s="10" t="s">
        <v>37</v>
      </c>
      <c r="U70" s="65"/>
    </row>
    <row r="71" spans="1:22" ht="26.45">
      <c r="A71" s="23" t="s">
        <v>346</v>
      </c>
      <c r="B71" s="5" t="s">
        <v>338</v>
      </c>
      <c r="C71" s="11" t="str">
        <f t="shared" si="2"/>
        <v>MMN - Cloud Sistema de Recaudo - Ret Other Vendors</v>
      </c>
      <c r="D71" s="5" t="s">
        <v>339</v>
      </c>
      <c r="E71" s="5" t="s">
        <v>347</v>
      </c>
      <c r="F71" s="5" t="s">
        <v>340</v>
      </c>
      <c r="G71" s="5" t="s">
        <v>61</v>
      </c>
      <c r="H71" s="11" t="str">
        <f>_xlfn.IFNA(VLOOKUP(F71,clientes!A:B,2,FALSE()),"--")</f>
        <v>Empresa De Transporte Masivo Del Valle De Aburrá Limitada</v>
      </c>
      <c r="I71" s="5" t="s">
        <v>33</v>
      </c>
      <c r="J71" s="6" t="s">
        <v>341</v>
      </c>
      <c r="K71" s="19" t="s">
        <v>342</v>
      </c>
      <c r="L71" s="10" t="s">
        <v>282</v>
      </c>
      <c r="M71" s="10" t="s">
        <v>157</v>
      </c>
      <c r="N71" s="10" t="s">
        <v>136</v>
      </c>
      <c r="O71" s="4" t="s">
        <v>137</v>
      </c>
      <c r="P71" s="11" t="s">
        <v>35</v>
      </c>
      <c r="Q71" s="11" t="s">
        <v>36</v>
      </c>
      <c r="R71" s="23" t="s">
        <v>348</v>
      </c>
      <c r="S71" s="10" t="s">
        <v>37</v>
      </c>
      <c r="T71"/>
      <c r="U71" s="64"/>
      <c r="V71"/>
    </row>
    <row r="72" spans="1:22" ht="26.45">
      <c r="A72" s="23" t="s">
        <v>349</v>
      </c>
      <c r="B72" s="5" t="s">
        <v>338</v>
      </c>
      <c r="C72" s="11" t="str">
        <f t="shared" si="2"/>
        <v xml:space="preserve">MMN - Cloud Sistema de Recaudo - Ret </v>
      </c>
      <c r="D72" s="5" t="s">
        <v>339</v>
      </c>
      <c r="E72" s="5" t="s">
        <v>350</v>
      </c>
      <c r="F72" s="5" t="s">
        <v>340</v>
      </c>
      <c r="G72" s="5" t="s">
        <v>61</v>
      </c>
      <c r="H72" s="11" t="str">
        <f>_xlfn.IFNA(VLOOKUP(F72,clientes!A:B,2,FALSE()),"--")</f>
        <v>Empresa De Transporte Masivo Del Valle De Aburrá Limitada</v>
      </c>
      <c r="I72" s="5" t="s">
        <v>33</v>
      </c>
      <c r="J72" t="s">
        <v>341</v>
      </c>
      <c r="K72" s="19" t="s">
        <v>342</v>
      </c>
      <c r="L72" s="10" t="s">
        <v>282</v>
      </c>
      <c r="M72" s="10" t="s">
        <v>157</v>
      </c>
      <c r="N72" s="10" t="s">
        <v>136</v>
      </c>
      <c r="O72" s="4" t="s">
        <v>137</v>
      </c>
      <c r="P72" s="11" t="s">
        <v>35</v>
      </c>
      <c r="Q72" s="11" t="s">
        <v>36</v>
      </c>
      <c r="R72" s="23" t="s">
        <v>351</v>
      </c>
      <c r="S72" s="10" t="s">
        <v>37</v>
      </c>
      <c r="T72"/>
      <c r="U72" s="65"/>
      <c r="V72"/>
    </row>
    <row r="73" spans="1:22" ht="39.6">
      <c r="A73" s="23" t="s">
        <v>352</v>
      </c>
      <c r="B73" s="5" t="s">
        <v>353</v>
      </c>
      <c r="C73" s="11" t="str">
        <f t="shared" si="2"/>
        <v>SPD - Repositorio Único de Datos - Fixed</v>
      </c>
      <c r="D73" s="5" t="s">
        <v>354</v>
      </c>
      <c r="E73" s="5" t="s">
        <v>80</v>
      </c>
      <c r="F73" s="5" t="s">
        <v>355</v>
      </c>
      <c r="G73" s="5" t="s">
        <v>81</v>
      </c>
      <c r="H73" s="11" t="str">
        <f>_xlfn.IFNA(VLOOKUP(F73,clientes!A:B,2,FALSE()),"--")</f>
        <v>Superintendencia Servicios Públicos Domiciliarios</v>
      </c>
      <c r="I73" s="5" t="s">
        <v>33</v>
      </c>
      <c r="J73" s="12" t="s">
        <v>356</v>
      </c>
      <c r="K73" s="19" t="s">
        <v>357</v>
      </c>
      <c r="L73" s="10" t="s">
        <v>358</v>
      </c>
      <c r="M73" s="10" t="s">
        <v>135</v>
      </c>
      <c r="N73" s="10" t="s">
        <v>201</v>
      </c>
      <c r="O73" s="4" t="s">
        <v>359</v>
      </c>
      <c r="P73" s="11" t="s">
        <v>35</v>
      </c>
      <c r="Q73" s="11" t="s">
        <v>36</v>
      </c>
      <c r="R73" s="23" t="s">
        <v>360</v>
      </c>
      <c r="S73" s="4" t="s">
        <v>359</v>
      </c>
      <c r="U73" s="64"/>
    </row>
    <row r="74" spans="1:22" ht="39.6">
      <c r="A74" s="23" t="s">
        <v>361</v>
      </c>
      <c r="B74" s="5" t="s">
        <v>353</v>
      </c>
      <c r="C74" s="11" t="str">
        <f t="shared" si="2"/>
        <v>SPD - Repositorio Único de Datos - Ret SW</v>
      </c>
      <c r="D74" s="5" t="s">
        <v>354</v>
      </c>
      <c r="E74" s="5" t="s">
        <v>48</v>
      </c>
      <c r="F74" s="5" t="s">
        <v>355</v>
      </c>
      <c r="G74" s="5" t="s">
        <v>50</v>
      </c>
      <c r="H74" s="11" t="s">
        <v>1562</v>
      </c>
      <c r="I74" s="5" t="s">
        <v>33</v>
      </c>
      <c r="J74" s="12" t="s">
        <v>356</v>
      </c>
      <c r="K74" s="19" t="s">
        <v>357</v>
      </c>
      <c r="L74" s="10" t="s">
        <v>358</v>
      </c>
      <c r="M74" s="10" t="s">
        <v>135</v>
      </c>
      <c r="N74" s="10" t="s">
        <v>201</v>
      </c>
      <c r="O74" s="4" t="s">
        <v>359</v>
      </c>
      <c r="P74" s="11" t="s">
        <v>35</v>
      </c>
      <c r="Q74" s="11" t="s">
        <v>36</v>
      </c>
      <c r="R74" s="23" t="s">
        <v>360</v>
      </c>
      <c r="S74" s="10" t="s">
        <v>37</v>
      </c>
      <c r="U74" s="65"/>
    </row>
    <row r="75" spans="1:22" ht="39.6">
      <c r="A75" s="23" t="s">
        <v>362</v>
      </c>
      <c r="B75" s="5" t="s">
        <v>353</v>
      </c>
      <c r="C75" s="11" t="str">
        <f t="shared" si="2"/>
        <v>SPD - Repositorio Único de Datos - Cloud</v>
      </c>
      <c r="D75" s="5" t="s">
        <v>354</v>
      </c>
      <c r="E75" s="5" t="s">
        <v>68</v>
      </c>
      <c r="F75" s="5" t="s">
        <v>355</v>
      </c>
      <c r="G75" s="4" t="s">
        <v>70</v>
      </c>
      <c r="H75" s="11" t="s">
        <v>1562</v>
      </c>
      <c r="I75" s="5" t="s">
        <v>33</v>
      </c>
      <c r="J75" s="12" t="s">
        <v>356</v>
      </c>
      <c r="K75" s="19" t="s">
        <v>357</v>
      </c>
      <c r="L75" s="10" t="s">
        <v>358</v>
      </c>
      <c r="M75" s="10" t="s">
        <v>135</v>
      </c>
      <c r="N75" s="10" t="s">
        <v>201</v>
      </c>
      <c r="O75" s="4" t="s">
        <v>359</v>
      </c>
      <c r="P75" s="11" t="s">
        <v>35</v>
      </c>
      <c r="Q75" s="11" t="s">
        <v>36</v>
      </c>
      <c r="R75" s="23" t="s">
        <v>360</v>
      </c>
      <c r="S75" s="4" t="s">
        <v>359</v>
      </c>
      <c r="U75" s="64"/>
    </row>
    <row r="76" spans="1:22" ht="39.6">
      <c r="A76" s="23" t="s">
        <v>363</v>
      </c>
      <c r="B76" s="5" t="s">
        <v>364</v>
      </c>
      <c r="C76" s="11" t="str">
        <f t="shared" si="2"/>
        <v>UNA - Gestión de Información - Fixed</v>
      </c>
      <c r="D76" s="5" t="s">
        <v>365</v>
      </c>
      <c r="E76" s="5" t="s">
        <v>80</v>
      </c>
      <c r="F76" s="5" t="s">
        <v>192</v>
      </c>
      <c r="G76" s="5" t="s">
        <v>81</v>
      </c>
      <c r="H76" s="11" t="str">
        <f>_xlfn.IFNA(VLOOKUP(F76,clientes!A:B,2,FALSE()),"--")</f>
        <v>Universidad Nacional de Colombia</v>
      </c>
      <c r="I76" s="5" t="s">
        <v>33</v>
      </c>
      <c r="J76" s="12" t="s">
        <v>210</v>
      </c>
      <c r="K76" s="19" t="s">
        <v>366</v>
      </c>
      <c r="L76" s="4" t="s">
        <v>53</v>
      </c>
      <c r="M76" s="10" t="s">
        <v>95</v>
      </c>
      <c r="N76" s="10" t="s">
        <v>136</v>
      </c>
      <c r="O76" s="4" t="s">
        <v>137</v>
      </c>
      <c r="P76" s="11" t="s">
        <v>35</v>
      </c>
      <c r="Q76" s="11" t="s">
        <v>36</v>
      </c>
      <c r="R76" s="23" t="s">
        <v>367</v>
      </c>
      <c r="S76" s="4" t="s">
        <v>138</v>
      </c>
      <c r="U76" s="65"/>
    </row>
    <row r="77" spans="1:22" ht="39.6">
      <c r="A77" s="23" t="s">
        <v>368</v>
      </c>
      <c r="B77" s="5" t="s">
        <v>364</v>
      </c>
      <c r="C77" s="11" t="str">
        <f t="shared" si="2"/>
        <v>UNA - Gestión de Información - Ret</v>
      </c>
      <c r="D77" s="5" t="s">
        <v>365</v>
      </c>
      <c r="E77" s="5" t="s">
        <v>60</v>
      </c>
      <c r="F77" s="5" t="s">
        <v>192</v>
      </c>
      <c r="G77" s="5" t="s">
        <v>61</v>
      </c>
      <c r="H77" s="11" t="str">
        <f>_xlfn.IFNA(VLOOKUP(F77,clientes!A:B,2,FALSE()),"--")</f>
        <v>Universidad Nacional de Colombia</v>
      </c>
      <c r="I77" s="5" t="s">
        <v>33</v>
      </c>
      <c r="J77" s="12" t="s">
        <v>210</v>
      </c>
      <c r="K77" s="19" t="s">
        <v>366</v>
      </c>
      <c r="L77" s="4" t="s">
        <v>53</v>
      </c>
      <c r="M77" s="10" t="s">
        <v>95</v>
      </c>
      <c r="N77" s="10" t="s">
        <v>136</v>
      </c>
      <c r="O77" s="4" t="s">
        <v>137</v>
      </c>
      <c r="P77" s="11" t="s">
        <v>35</v>
      </c>
      <c r="Q77" s="11" t="s">
        <v>36</v>
      </c>
      <c r="R77" s="23" t="s">
        <v>367</v>
      </c>
      <c r="S77" s="4" t="s">
        <v>138</v>
      </c>
      <c r="U77" s="64"/>
    </row>
    <row r="78" spans="1:22" ht="39.6">
      <c r="A78" s="23" t="s">
        <v>369</v>
      </c>
      <c r="B78" s="5" t="s">
        <v>364</v>
      </c>
      <c r="C78" s="11" t="str">
        <f t="shared" si="2"/>
        <v>UNA - Gestión de Información - Cloud</v>
      </c>
      <c r="D78" s="5" t="s">
        <v>365</v>
      </c>
      <c r="E78" s="5" t="s">
        <v>68</v>
      </c>
      <c r="F78" s="5" t="s">
        <v>192</v>
      </c>
      <c r="G78" s="4" t="s">
        <v>70</v>
      </c>
      <c r="H78" s="11" t="str">
        <f>_xlfn.IFNA(VLOOKUP(F78,clientes!A:B,2,FALSE()),"--")</f>
        <v>Universidad Nacional de Colombia</v>
      </c>
      <c r="I78" s="5" t="s">
        <v>33</v>
      </c>
      <c r="J78" s="12" t="s">
        <v>210</v>
      </c>
      <c r="K78" s="19" t="s">
        <v>366</v>
      </c>
      <c r="L78" s="4" t="s">
        <v>53</v>
      </c>
      <c r="M78" s="10" t="s">
        <v>95</v>
      </c>
      <c r="N78" s="10" t="s">
        <v>136</v>
      </c>
      <c r="O78" s="4" t="s">
        <v>137</v>
      </c>
      <c r="P78" s="11" t="s">
        <v>35</v>
      </c>
      <c r="Q78" s="11" t="s">
        <v>36</v>
      </c>
      <c r="R78" s="23" t="s">
        <v>367</v>
      </c>
      <c r="S78" s="10" t="s">
        <v>37</v>
      </c>
      <c r="U78" s="65"/>
    </row>
    <row r="79" spans="1:22" ht="13.15">
      <c r="A79" s="22" t="s">
        <v>370</v>
      </c>
      <c r="B79" s="5" t="s">
        <v>371</v>
      </c>
      <c r="C79" s="11" t="str">
        <f t="shared" si="2"/>
        <v>UNA - Servicios Quipu - Fixed</v>
      </c>
      <c r="D79" s="5" t="s">
        <v>372</v>
      </c>
      <c r="E79" s="5" t="s">
        <v>80</v>
      </c>
      <c r="F79" s="5" t="s">
        <v>192</v>
      </c>
      <c r="G79" s="5" t="s">
        <v>81</v>
      </c>
      <c r="H79" s="11" t="str">
        <f>_xlfn.IFNA(VLOOKUP(F79,clientes!A:B,2,FALSE()),"--")</f>
        <v>Universidad Nacional de Colombia</v>
      </c>
      <c r="I79" s="5" t="s">
        <v>71</v>
      </c>
      <c r="J79" s="12" t="s">
        <v>193</v>
      </c>
      <c r="K79" s="4" t="s">
        <v>373</v>
      </c>
      <c r="L79" s="4" t="s">
        <v>53</v>
      </c>
      <c r="M79" s="10" t="s">
        <v>95</v>
      </c>
      <c r="N79" s="10" t="s">
        <v>75</v>
      </c>
      <c r="O79" s="4" t="s">
        <v>107</v>
      </c>
      <c r="P79" s="11" t="s">
        <v>77</v>
      </c>
      <c r="Q79" s="11" t="s">
        <v>36</v>
      </c>
      <c r="R79" s="22">
        <v>55201</v>
      </c>
      <c r="S79" s="10" t="s">
        <v>64</v>
      </c>
      <c r="U79" s="64" t="s">
        <v>1563</v>
      </c>
    </row>
    <row r="80" spans="1:22" ht="13.15" customHeight="1">
      <c r="A80" s="28" t="s">
        <v>374</v>
      </c>
      <c r="B80" s="5" t="s">
        <v>375</v>
      </c>
      <c r="C80" s="11" t="str">
        <f t="shared" si="2"/>
        <v>UNA - Facultad de ingenieria - Ret</v>
      </c>
      <c r="D80" s="5" t="s">
        <v>376</v>
      </c>
      <c r="E80" s="5" t="s">
        <v>60</v>
      </c>
      <c r="F80" s="5" t="s">
        <v>192</v>
      </c>
      <c r="G80" s="5" t="s">
        <v>61</v>
      </c>
      <c r="H80" s="11" t="str">
        <f>_xlfn.IFNA(VLOOKUP(F80,clientes!A:B,2,FALSE()),"--")</f>
        <v>Universidad Nacional de Colombia</v>
      </c>
      <c r="I80" s="5" t="s">
        <v>33</v>
      </c>
      <c r="J80" s="12" t="s">
        <v>193</v>
      </c>
      <c r="K80" s="19" t="s">
        <v>194</v>
      </c>
      <c r="L80" s="4" t="s">
        <v>53</v>
      </c>
      <c r="M80" s="10" t="s">
        <v>95</v>
      </c>
      <c r="N80" s="10" t="s">
        <v>136</v>
      </c>
      <c r="O80" s="4" t="s">
        <v>137</v>
      </c>
      <c r="P80" s="11" t="s">
        <v>35</v>
      </c>
      <c r="Q80" s="11" t="s">
        <v>36</v>
      </c>
      <c r="S80" s="4" t="s">
        <v>138</v>
      </c>
      <c r="U80" s="65"/>
    </row>
    <row r="81" spans="1:22" ht="13.15">
      <c r="A81" s="22" t="s">
        <v>377</v>
      </c>
      <c r="B81" s="4" t="s">
        <v>375</v>
      </c>
      <c r="C81" s="11" t="str">
        <f t="shared" si="2"/>
        <v>UNA - Facultad de ingenieria - Cloud</v>
      </c>
      <c r="D81" s="5" t="s">
        <v>376</v>
      </c>
      <c r="E81" s="5" t="s">
        <v>68</v>
      </c>
      <c r="F81" s="5" t="s">
        <v>192</v>
      </c>
      <c r="G81" s="5" t="s">
        <v>70</v>
      </c>
      <c r="H81" s="11" t="str">
        <f>_xlfn.IFNA(VLOOKUP(F81,clientes!A:B,2,FALSE()),"--")</f>
        <v>Universidad Nacional de Colombia</v>
      </c>
      <c r="I81" s="5" t="s">
        <v>33</v>
      </c>
      <c r="J81" s="12" t="s">
        <v>193</v>
      </c>
      <c r="K81" s="19" t="s">
        <v>194</v>
      </c>
      <c r="L81" s="4" t="s">
        <v>53</v>
      </c>
      <c r="M81" s="10" t="s">
        <v>95</v>
      </c>
      <c r="N81" s="10" t="s">
        <v>136</v>
      </c>
      <c r="O81" s="4" t="s">
        <v>137</v>
      </c>
      <c r="P81" s="11" t="s">
        <v>35</v>
      </c>
      <c r="Q81" s="11" t="s">
        <v>36</v>
      </c>
      <c r="U81" s="64"/>
    </row>
    <row r="82" spans="1:22" ht="52.9">
      <c r="A82" s="23" t="s">
        <v>378</v>
      </c>
      <c r="B82" s="5" t="s">
        <v>379</v>
      </c>
      <c r="C82" s="11" t="str">
        <f t="shared" si="2"/>
        <v>BID - Development as a Service - Fixed</v>
      </c>
      <c r="D82" s="5" t="s">
        <v>380</v>
      </c>
      <c r="E82" s="5" t="s">
        <v>80</v>
      </c>
      <c r="F82" s="5" t="s">
        <v>153</v>
      </c>
      <c r="G82" s="5" t="s">
        <v>81</v>
      </c>
      <c r="H82" s="11" t="str">
        <f>_xlfn.IFNA(VLOOKUP(F82,clientes!A:B,2,FALSE()),"--")</f>
        <v>Banco Interamericano de Desarrollo</v>
      </c>
      <c r="I82" s="5" t="s">
        <v>33</v>
      </c>
      <c r="J82" s="12" t="s">
        <v>154</v>
      </c>
      <c r="K82" s="50" t="s">
        <v>381</v>
      </c>
      <c r="L82" s="10" t="s">
        <v>134</v>
      </c>
      <c r="M82" s="10" t="s">
        <v>145</v>
      </c>
      <c r="N82" s="10" t="s">
        <v>75</v>
      </c>
      <c r="O82" s="4" t="s">
        <v>160</v>
      </c>
      <c r="P82" s="11" t="s">
        <v>35</v>
      </c>
      <c r="Q82" s="11" t="s">
        <v>36</v>
      </c>
      <c r="R82" s="23" t="s">
        <v>382</v>
      </c>
      <c r="S82" s="4" t="s">
        <v>160</v>
      </c>
      <c r="U82" s="63"/>
    </row>
    <row r="83" spans="1:22" ht="14.45">
      <c r="A83" s="22" t="s">
        <v>385</v>
      </c>
      <c r="B83" s="5" t="s">
        <v>386</v>
      </c>
      <c r="C83" s="11" t="str">
        <f t="shared" si="2"/>
        <v>WIT - Witty Operación - Ret</v>
      </c>
      <c r="D83" s="5" t="s">
        <v>387</v>
      </c>
      <c r="E83" s="5" t="s">
        <v>60</v>
      </c>
      <c r="F83" s="5" t="s">
        <v>388</v>
      </c>
      <c r="G83" s="5" t="s">
        <v>61</v>
      </c>
      <c r="H83" s="11" t="str">
        <f>_xlfn.IFNA(VLOOKUP(F83,clientes!A:B,2,FALSE()),"--")</f>
        <v>Witty</v>
      </c>
      <c r="I83" s="5" t="s">
        <v>71</v>
      </c>
      <c r="J83" s="6" t="s">
        <v>389</v>
      </c>
      <c r="K83" s="7" t="s">
        <v>390</v>
      </c>
      <c r="L83" s="10"/>
      <c r="M83" s="10" t="s">
        <v>157</v>
      </c>
      <c r="N83" s="10" t="s">
        <v>75</v>
      </c>
      <c r="O83" s="4" t="s">
        <v>107</v>
      </c>
      <c r="P83" s="11" t="s">
        <v>77</v>
      </c>
      <c r="Q83" s="11" t="s">
        <v>391</v>
      </c>
      <c r="R83" s="22">
        <v>55204</v>
      </c>
      <c r="S83" s="10" t="s">
        <v>64</v>
      </c>
      <c r="U83" s="66" t="s">
        <v>1527</v>
      </c>
    </row>
    <row r="84" spans="1:22" ht="14.45">
      <c r="A84" s="22" t="s">
        <v>392</v>
      </c>
      <c r="B84" s="5" t="s">
        <v>393</v>
      </c>
      <c r="C84" s="11" t="str">
        <f t="shared" si="2"/>
        <v>SIC - Soporte infraestructura - Ret</v>
      </c>
      <c r="D84" s="5" t="s">
        <v>394</v>
      </c>
      <c r="E84" s="5" t="s">
        <v>60</v>
      </c>
      <c r="F84" s="5" t="s">
        <v>395</v>
      </c>
      <c r="G84" s="5" t="s">
        <v>61</v>
      </c>
      <c r="H84" s="11" t="str">
        <f>_xlfn.IFNA(VLOOKUP(F84,clientes!A:B,2,FALSE()),"--")</f>
        <v>Superintendencia de Industria y Comercio</v>
      </c>
      <c r="I84" s="5" t="s">
        <v>71</v>
      </c>
      <c r="J84" s="6" t="s">
        <v>395</v>
      </c>
      <c r="K84" s="4" t="s">
        <v>396</v>
      </c>
      <c r="L84" s="10" t="s">
        <v>134</v>
      </c>
      <c r="M84" s="10" t="s">
        <v>145</v>
      </c>
      <c r="N84" s="10" t="s">
        <v>75</v>
      </c>
      <c r="O84" s="4" t="s">
        <v>397</v>
      </c>
      <c r="P84" s="11" t="s">
        <v>77</v>
      </c>
      <c r="Q84" s="11" t="s">
        <v>391</v>
      </c>
      <c r="R84" s="22">
        <v>55205</v>
      </c>
      <c r="S84" s="10" t="s">
        <v>37</v>
      </c>
      <c r="U84" s="63" t="s">
        <v>1527</v>
      </c>
    </row>
    <row r="85" spans="1:22" ht="52.9">
      <c r="A85" s="23" t="s">
        <v>398</v>
      </c>
      <c r="B85" s="5" t="s">
        <v>379</v>
      </c>
      <c r="C85" s="11" t="str">
        <f t="shared" si="2"/>
        <v>BID - Development as a Service - Ret</v>
      </c>
      <c r="D85" s="5" t="s">
        <v>380</v>
      </c>
      <c r="E85" s="5" t="s">
        <v>60</v>
      </c>
      <c r="F85" s="5" t="s">
        <v>153</v>
      </c>
      <c r="G85" s="5" t="s">
        <v>61</v>
      </c>
      <c r="H85" s="11" t="str">
        <f>_xlfn.IFNA(VLOOKUP(F85,clientes!A:B,2,FALSE()),"--")</f>
        <v>Banco Interamericano de Desarrollo</v>
      </c>
      <c r="I85" s="5" t="s">
        <v>33</v>
      </c>
      <c r="J85" s="12" t="s">
        <v>154</v>
      </c>
      <c r="K85" s="50" t="s">
        <v>381</v>
      </c>
      <c r="L85" s="10" t="s">
        <v>134</v>
      </c>
      <c r="M85" s="10" t="s">
        <v>145</v>
      </c>
      <c r="N85" s="10" t="s">
        <v>75</v>
      </c>
      <c r="O85" s="4" t="s">
        <v>160</v>
      </c>
      <c r="P85" s="11" t="s">
        <v>35</v>
      </c>
      <c r="Q85" s="11" t="s">
        <v>36</v>
      </c>
      <c r="R85" s="23" t="s">
        <v>382</v>
      </c>
      <c r="S85" s="4" t="s">
        <v>160</v>
      </c>
      <c r="U85" s="66"/>
    </row>
    <row r="86" spans="1:22" ht="52.9">
      <c r="A86" s="23" t="s">
        <v>399</v>
      </c>
      <c r="B86" s="5" t="s">
        <v>379</v>
      </c>
      <c r="C86" s="11" t="str">
        <f t="shared" si="2"/>
        <v>BID - Development as a Service - Cloud</v>
      </c>
      <c r="D86" s="5" t="s">
        <v>380</v>
      </c>
      <c r="E86" s="5" t="s">
        <v>68</v>
      </c>
      <c r="F86" s="5" t="s">
        <v>153</v>
      </c>
      <c r="G86" s="4" t="s">
        <v>70</v>
      </c>
      <c r="H86" s="11" t="str">
        <f>_xlfn.IFNA(VLOOKUP(F86,clientes!A:B,2,FALSE()),"--")</f>
        <v>Banco Interamericano de Desarrollo</v>
      </c>
      <c r="I86" s="5" t="s">
        <v>33</v>
      </c>
      <c r="J86" s="12" t="s">
        <v>154</v>
      </c>
      <c r="K86" s="50" t="s">
        <v>381</v>
      </c>
      <c r="L86" s="10" t="s">
        <v>134</v>
      </c>
      <c r="M86" s="10" t="s">
        <v>145</v>
      </c>
      <c r="N86" s="10" t="s">
        <v>75</v>
      </c>
      <c r="O86" s="4" t="s">
        <v>160</v>
      </c>
      <c r="P86" s="11" t="s">
        <v>35</v>
      </c>
      <c r="Q86" s="11" t="s">
        <v>36</v>
      </c>
      <c r="R86" s="23" t="s">
        <v>382</v>
      </c>
      <c r="S86" s="10" t="s">
        <v>37</v>
      </c>
      <c r="U86" s="63"/>
    </row>
    <row r="87" spans="1:22" ht="52.9">
      <c r="A87" s="23" t="s">
        <v>400</v>
      </c>
      <c r="B87" s="5" t="s">
        <v>379</v>
      </c>
      <c r="C87" s="11" t="str">
        <f t="shared" si="2"/>
        <v>BID - Development as a Service - Ret SW</v>
      </c>
      <c r="D87" s="5" t="s">
        <v>380</v>
      </c>
      <c r="E87" s="5" t="s">
        <v>48</v>
      </c>
      <c r="F87" s="5" t="s">
        <v>153</v>
      </c>
      <c r="G87" s="5" t="s">
        <v>50</v>
      </c>
      <c r="H87" s="11" t="str">
        <f>_xlfn.IFNA(VLOOKUP(F87,clientes!A:B,2,FALSE()),"--")</f>
        <v>Banco Interamericano de Desarrollo</v>
      </c>
      <c r="I87" s="5" t="s">
        <v>33</v>
      </c>
      <c r="J87" s="12" t="s">
        <v>154</v>
      </c>
      <c r="K87" s="50" t="s">
        <v>381</v>
      </c>
      <c r="L87" s="10" t="s">
        <v>134</v>
      </c>
      <c r="M87" s="10" t="s">
        <v>145</v>
      </c>
      <c r="N87" s="10" t="s">
        <v>75</v>
      </c>
      <c r="O87" s="4" t="s">
        <v>160</v>
      </c>
      <c r="P87" s="11" t="s">
        <v>35</v>
      </c>
      <c r="Q87" s="11" t="s">
        <v>36</v>
      </c>
      <c r="R87" s="23" t="s">
        <v>382</v>
      </c>
      <c r="S87" s="10" t="s">
        <v>37</v>
      </c>
      <c r="U87" s="66"/>
    </row>
    <row r="88" spans="1:22" ht="14.45">
      <c r="A88" s="23" t="s">
        <v>401</v>
      </c>
      <c r="B88" s="5" t="s">
        <v>402</v>
      </c>
      <c r="C88" s="11" t="str">
        <f t="shared" si="2"/>
        <v>FDN - Servicios de arquitectura - Cloud</v>
      </c>
      <c r="D88" s="5" t="s">
        <v>403</v>
      </c>
      <c r="E88" s="5" t="s">
        <v>68</v>
      </c>
      <c r="F88" s="5" t="s">
        <v>231</v>
      </c>
      <c r="G88" s="4" t="s">
        <v>70</v>
      </c>
      <c r="H88" s="11" t="str">
        <f>_xlfn.IFNA(VLOOKUP(F88,clientes!A:B,2,FALSE()),"--")</f>
        <v>Financiera de Desarrollo Nacional</v>
      </c>
      <c r="I88" s="5" t="s">
        <v>33</v>
      </c>
      <c r="J88" s="12" t="s">
        <v>232</v>
      </c>
      <c r="K88" s="14" t="s">
        <v>404</v>
      </c>
      <c r="L88" s="10" t="s">
        <v>124</v>
      </c>
      <c r="M88" s="10" t="s">
        <v>95</v>
      </c>
      <c r="N88" s="10" t="s">
        <v>136</v>
      </c>
      <c r="O88" s="4" t="s">
        <v>137</v>
      </c>
      <c r="P88" s="11" t="s">
        <v>35</v>
      </c>
      <c r="Q88" s="11" t="s">
        <v>36</v>
      </c>
      <c r="R88" s="23" t="s">
        <v>405</v>
      </c>
      <c r="S88" s="10" t="s">
        <v>37</v>
      </c>
      <c r="U88" s="63"/>
    </row>
    <row r="89" spans="1:22" ht="14.45">
      <c r="A89" s="22" t="s">
        <v>406</v>
      </c>
      <c r="B89" s="5" t="s">
        <v>407</v>
      </c>
      <c r="C89" s="11" t="str">
        <f t="shared" si="2"/>
        <v>UNA - Soporte y Mtto Quipu 2025 - Ret</v>
      </c>
      <c r="D89" s="5" t="s">
        <v>408</v>
      </c>
      <c r="E89" s="5" t="s">
        <v>60</v>
      </c>
      <c r="F89" s="5" t="s">
        <v>192</v>
      </c>
      <c r="G89" s="5" t="s">
        <v>61</v>
      </c>
      <c r="H89" s="11" t="str">
        <f>_xlfn.IFNA(VLOOKUP(F89,clientes!A:B,2,FALSE()),"--")</f>
        <v>Universidad Nacional de Colombia</v>
      </c>
      <c r="I89" s="5" t="s">
        <v>33</v>
      </c>
      <c r="J89" s="12" t="s">
        <v>193</v>
      </c>
      <c r="K89" s="19" t="s">
        <v>409</v>
      </c>
      <c r="L89" s="4" t="s">
        <v>53</v>
      </c>
      <c r="M89" s="10" t="s">
        <v>95</v>
      </c>
      <c r="N89" s="10" t="s">
        <v>75</v>
      </c>
      <c r="O89" s="4" t="s">
        <v>107</v>
      </c>
      <c r="P89" s="11" t="s">
        <v>35</v>
      </c>
      <c r="Q89" s="11" t="s">
        <v>299</v>
      </c>
      <c r="R89" s="22">
        <v>55202</v>
      </c>
      <c r="S89" s="10" t="s">
        <v>64</v>
      </c>
      <c r="U89" s="66"/>
    </row>
    <row r="90" spans="1:22" ht="26.45">
      <c r="A90" s="23" t="s">
        <v>410</v>
      </c>
      <c r="B90" s="58" t="s">
        <v>411</v>
      </c>
      <c r="C90" s="11" t="str">
        <f t="shared" si="2"/>
        <v>ACA - Agente Cognitivo y Migración - Fixed</v>
      </c>
      <c r="D90" s="58" t="s">
        <v>412</v>
      </c>
      <c r="E90" s="5" t="s">
        <v>80</v>
      </c>
      <c r="F90" s="58" t="s">
        <v>69</v>
      </c>
      <c r="G90" s="5" t="s">
        <v>81</v>
      </c>
      <c r="H90" s="11" t="str">
        <f>_xlfn.IFNA(VLOOKUP(F90,clientes!A:B,2,FALSE()),"--")</f>
        <v>Alcaldia de Cali</v>
      </c>
      <c r="I90" s="5" t="s">
        <v>71</v>
      </c>
      <c r="J90" s="16" t="s">
        <v>72</v>
      </c>
      <c r="K90" s="4" t="s">
        <v>413</v>
      </c>
      <c r="L90" s="10" t="s">
        <v>73</v>
      </c>
      <c r="M90" s="16" t="s">
        <v>74</v>
      </c>
      <c r="N90" s="17" t="s">
        <v>136</v>
      </c>
      <c r="O90" s="4" t="s">
        <v>137</v>
      </c>
      <c r="P90" s="11" t="s">
        <v>77</v>
      </c>
      <c r="Q90" s="11" t="s">
        <v>36</v>
      </c>
      <c r="R90" s="23" t="s">
        <v>414</v>
      </c>
      <c r="S90" s="4" t="s">
        <v>138</v>
      </c>
      <c r="U90" s="63" t="s">
        <v>1527</v>
      </c>
    </row>
    <row r="91" spans="1:22" ht="26.45">
      <c r="A91" s="23" t="s">
        <v>415</v>
      </c>
      <c r="B91" s="58" t="s">
        <v>411</v>
      </c>
      <c r="C91" s="11" t="str">
        <f t="shared" si="2"/>
        <v>ACA - Agente Cognitivo y Migración - Cloud</v>
      </c>
      <c r="D91" s="58" t="s">
        <v>412</v>
      </c>
      <c r="E91" s="5" t="s">
        <v>68</v>
      </c>
      <c r="F91" s="58" t="s">
        <v>69</v>
      </c>
      <c r="G91" s="4" t="s">
        <v>70</v>
      </c>
      <c r="H91" s="11" t="str">
        <f>_xlfn.IFNA(VLOOKUP(F91,clientes!A:B,2,FALSE()),"--")</f>
        <v>Alcaldia de Cali</v>
      </c>
      <c r="I91" s="5" t="s">
        <v>71</v>
      </c>
      <c r="J91" s="16" t="s">
        <v>72</v>
      </c>
      <c r="K91" s="4" t="s">
        <v>413</v>
      </c>
      <c r="L91" s="10" t="s">
        <v>73</v>
      </c>
      <c r="M91" s="16" t="s">
        <v>74</v>
      </c>
      <c r="N91" s="17" t="s">
        <v>136</v>
      </c>
      <c r="O91" s="4" t="s">
        <v>137</v>
      </c>
      <c r="P91" s="11" t="s">
        <v>77</v>
      </c>
      <c r="Q91" s="11" t="s">
        <v>36</v>
      </c>
      <c r="R91" s="23" t="s">
        <v>414</v>
      </c>
      <c r="S91" s="10" t="s">
        <v>37</v>
      </c>
      <c r="U91" s="64" t="s">
        <v>1564</v>
      </c>
    </row>
    <row r="92" spans="1:22" ht="39.6">
      <c r="A92" s="23" t="s">
        <v>416</v>
      </c>
      <c r="B92" s="5" t="s">
        <v>417</v>
      </c>
      <c r="C92" s="11" t="str">
        <f t="shared" si="2"/>
        <v>PON - IAPOL-G - IA Generative - Fixed</v>
      </c>
      <c r="D92" s="5" t="s">
        <v>418</v>
      </c>
      <c r="E92" s="5" t="s">
        <v>80</v>
      </c>
      <c r="F92" s="5" t="s">
        <v>419</v>
      </c>
      <c r="G92" s="5" t="s">
        <v>81</v>
      </c>
      <c r="H92" s="11" t="str">
        <f>_xlfn.IFNA(VLOOKUP(F92,clientes!A:B,2,FALSE()),"--")</f>
        <v>Policia Nacional</v>
      </c>
      <c r="I92" s="5" t="s">
        <v>33</v>
      </c>
      <c r="J92" s="15" t="s">
        <v>420</v>
      </c>
      <c r="K92" s="51" t="s">
        <v>421</v>
      </c>
      <c r="L92" s="4" t="s">
        <v>315</v>
      </c>
      <c r="M92" s="10" t="s">
        <v>145</v>
      </c>
      <c r="N92" s="10" t="s">
        <v>201</v>
      </c>
      <c r="O92" s="4" t="s">
        <v>425</v>
      </c>
      <c r="P92" s="11" t="s">
        <v>35</v>
      </c>
      <c r="Q92" s="11" t="s">
        <v>423</v>
      </c>
      <c r="R92" s="23" t="s">
        <v>424</v>
      </c>
      <c r="S92" s="4" t="s">
        <v>425</v>
      </c>
      <c r="U92" s="65"/>
    </row>
    <row r="93" spans="1:22" ht="40.15">
      <c r="A93" s="23" t="s">
        <v>432</v>
      </c>
      <c r="B93" s="5" t="s">
        <v>417</v>
      </c>
      <c r="C93" s="11" t="str">
        <f t="shared" si="2"/>
        <v>PON - IAPOL-G - IA Generative - Ret SW</v>
      </c>
      <c r="D93" s="5" t="s">
        <v>418</v>
      </c>
      <c r="E93" s="5" t="s">
        <v>48</v>
      </c>
      <c r="F93" s="5" t="s">
        <v>419</v>
      </c>
      <c r="G93" s="5" t="s">
        <v>50</v>
      </c>
      <c r="H93" s="11" t="str">
        <f>_xlfn.IFNA(VLOOKUP(F93,clientes!A:B,2,FALSE()),"--")</f>
        <v>Policia Nacional</v>
      </c>
      <c r="I93" s="5" t="s">
        <v>33</v>
      </c>
      <c r="J93" s="15" t="s">
        <v>420</v>
      </c>
      <c r="K93" s="51" t="s">
        <v>421</v>
      </c>
      <c r="L93" s="4" t="s">
        <v>315</v>
      </c>
      <c r="M93" s="10" t="s">
        <v>145</v>
      </c>
      <c r="N93" s="10" t="s">
        <v>201</v>
      </c>
      <c r="O93" s="4" t="s">
        <v>425</v>
      </c>
      <c r="P93" s="11" t="s">
        <v>35</v>
      </c>
      <c r="Q93" s="11" t="s">
        <v>423</v>
      </c>
      <c r="R93" s="23" t="s">
        <v>424</v>
      </c>
      <c r="S93" s="10" t="s">
        <v>37</v>
      </c>
      <c r="U93" s="66"/>
    </row>
    <row r="94" spans="1:22" ht="40.15">
      <c r="A94" s="23" t="s">
        <v>433</v>
      </c>
      <c r="B94" s="5" t="s">
        <v>417</v>
      </c>
      <c r="C94" s="11" t="str">
        <f t="shared" si="2"/>
        <v>PON - IAPOL-G - IA Generative - Cloud</v>
      </c>
      <c r="D94" s="5" t="s">
        <v>418</v>
      </c>
      <c r="E94" s="5" t="s">
        <v>68</v>
      </c>
      <c r="F94" s="5" t="s">
        <v>419</v>
      </c>
      <c r="G94" s="4" t="s">
        <v>70</v>
      </c>
      <c r="H94" s="11" t="str">
        <f>_xlfn.IFNA(VLOOKUP(F94,clientes!A:B,2,FALSE()),"--")</f>
        <v>Policia Nacional</v>
      </c>
      <c r="I94" s="5" t="s">
        <v>33</v>
      </c>
      <c r="J94" s="15" t="s">
        <v>420</v>
      </c>
      <c r="K94" s="51" t="s">
        <v>421</v>
      </c>
      <c r="L94" s="4" t="s">
        <v>315</v>
      </c>
      <c r="M94" s="10" t="s">
        <v>145</v>
      </c>
      <c r="N94" s="10" t="s">
        <v>201</v>
      </c>
      <c r="O94" s="4" t="s">
        <v>425</v>
      </c>
      <c r="P94" s="11" t="s">
        <v>35</v>
      </c>
      <c r="Q94" s="11" t="s">
        <v>423</v>
      </c>
      <c r="R94" s="23" t="s">
        <v>424</v>
      </c>
      <c r="S94" s="10" t="s">
        <v>37</v>
      </c>
      <c r="U94" s="63"/>
    </row>
    <row r="95" spans="1:22" ht="40.15">
      <c r="A95" s="23" t="s">
        <v>434</v>
      </c>
      <c r="B95" s="5" t="s">
        <v>417</v>
      </c>
      <c r="C95" s="11" t="str">
        <f t="shared" si="2"/>
        <v>PON - IAPOL-G - IA Generative - Ret</v>
      </c>
      <c r="D95" s="5" t="s">
        <v>418</v>
      </c>
      <c r="E95" s="5" t="s">
        <v>60</v>
      </c>
      <c r="F95" s="5" t="s">
        <v>419</v>
      </c>
      <c r="G95" s="5" t="s">
        <v>61</v>
      </c>
      <c r="H95" s="11" t="str">
        <f>_xlfn.IFNA(VLOOKUP(F95,clientes!A:B,2,FALSE()),"--")</f>
        <v>Policia Nacional</v>
      </c>
      <c r="I95" s="5" t="s">
        <v>33</v>
      </c>
      <c r="J95" s="15" t="s">
        <v>420</v>
      </c>
      <c r="K95" s="51" t="s">
        <v>421</v>
      </c>
      <c r="L95" s="4" t="s">
        <v>315</v>
      </c>
      <c r="M95" s="10" t="s">
        <v>145</v>
      </c>
      <c r="N95" s="10" t="s">
        <v>201</v>
      </c>
      <c r="O95" s="4" t="s">
        <v>425</v>
      </c>
      <c r="P95" s="11" t="s">
        <v>35</v>
      </c>
      <c r="Q95" s="11" t="s">
        <v>423</v>
      </c>
      <c r="R95" s="23" t="s">
        <v>424</v>
      </c>
      <c r="S95" s="4" t="s">
        <v>423</v>
      </c>
      <c r="U95" s="66"/>
    </row>
    <row r="96" spans="1:22" ht="40.15">
      <c r="A96" s="22" t="s">
        <v>435</v>
      </c>
      <c r="B96" s="4" t="s">
        <v>417</v>
      </c>
      <c r="C96" s="11" t="str">
        <f t="shared" si="2"/>
        <v>PON - IAPOL-G - IA Generative - Other Vendors</v>
      </c>
      <c r="D96" s="5" t="s">
        <v>418</v>
      </c>
      <c r="E96" s="5" t="s">
        <v>436</v>
      </c>
      <c r="F96" s="5" t="s">
        <v>419</v>
      </c>
      <c r="G96" s="5" t="s">
        <v>61</v>
      </c>
      <c r="H96" s="11" t="str">
        <f>_xlfn.IFNA(VLOOKUP(F96,clientes!A:B,2,FALSE()),"--")</f>
        <v>Policia Nacional</v>
      </c>
      <c r="I96" s="5" t="s">
        <v>33</v>
      </c>
      <c r="J96" s="15" t="s">
        <v>420</v>
      </c>
      <c r="K96" s="51" t="s">
        <v>421</v>
      </c>
      <c r="L96" s="4" t="s">
        <v>315</v>
      </c>
      <c r="M96" s="10" t="s">
        <v>145</v>
      </c>
      <c r="N96" s="10" t="s">
        <v>201</v>
      </c>
      <c r="O96" s="4" t="s">
        <v>425</v>
      </c>
      <c r="P96" s="11" t="s">
        <v>35</v>
      </c>
      <c r="Q96" s="11" t="s">
        <v>423</v>
      </c>
      <c r="R96" s="23" t="s">
        <v>424</v>
      </c>
      <c r="S96" s="4" t="s">
        <v>423</v>
      </c>
      <c r="T96"/>
      <c r="U96" s="63"/>
      <c r="V96"/>
    </row>
    <row r="97" spans="1:22" ht="26.45">
      <c r="A97" s="23" t="s">
        <v>437</v>
      </c>
      <c r="B97" s="4" t="s">
        <v>438</v>
      </c>
      <c r="C97" s="11" t="str">
        <f t="shared" si="2"/>
        <v>CSJ - Digitalización archivo físico - Cloud</v>
      </c>
      <c r="D97" s="4" t="s">
        <v>439</v>
      </c>
      <c r="E97" s="5" t="s">
        <v>68</v>
      </c>
      <c r="F97" s="5" t="s">
        <v>184</v>
      </c>
      <c r="G97" s="4" t="s">
        <v>70</v>
      </c>
      <c r="H97" s="11" t="str">
        <f>_xlfn.IFNA(VLOOKUP(F97,clientes!A:B,2,FALSE()),"--")</f>
        <v>Consejo Superior de la Judicatura</v>
      </c>
      <c r="I97" s="5" t="s">
        <v>71</v>
      </c>
      <c r="J97" s="15" t="s">
        <v>185</v>
      </c>
      <c r="K97" s="14" t="s">
        <v>440</v>
      </c>
      <c r="L97" s="10" t="s">
        <v>124</v>
      </c>
      <c r="M97" s="10" t="s">
        <v>135</v>
      </c>
      <c r="N97" s="10" t="s">
        <v>201</v>
      </c>
      <c r="O97" s="4" t="s">
        <v>298</v>
      </c>
      <c r="P97" s="11" t="s">
        <v>77</v>
      </c>
      <c r="Q97" s="11" t="s">
        <v>36</v>
      </c>
      <c r="R97" s="23" t="s">
        <v>441</v>
      </c>
      <c r="S97" s="10" t="s">
        <v>37</v>
      </c>
      <c r="U97" s="66" t="s">
        <v>1527</v>
      </c>
    </row>
    <row r="98" spans="1:22" ht="26.45">
      <c r="A98" s="23" t="s">
        <v>442</v>
      </c>
      <c r="B98" s="4" t="s">
        <v>438</v>
      </c>
      <c r="C98" s="11" t="str">
        <f t="shared" si="2"/>
        <v>CSJ - Digitalización archivo físico - Fixed</v>
      </c>
      <c r="D98" s="4" t="s">
        <v>439</v>
      </c>
      <c r="E98" s="5" t="s">
        <v>80</v>
      </c>
      <c r="F98" s="5" t="s">
        <v>184</v>
      </c>
      <c r="G98" s="5" t="s">
        <v>81</v>
      </c>
      <c r="H98" s="11" t="str">
        <f>_xlfn.IFNA(VLOOKUP(F98,clientes!A:B,2,FALSE()),"--")</f>
        <v>Consejo Superior de la Judicatura</v>
      </c>
      <c r="I98" s="5" t="s">
        <v>71</v>
      </c>
      <c r="J98" s="15" t="s">
        <v>185</v>
      </c>
      <c r="K98" s="14" t="s">
        <v>440</v>
      </c>
      <c r="L98" s="10" t="s">
        <v>124</v>
      </c>
      <c r="M98" s="10" t="s">
        <v>135</v>
      </c>
      <c r="N98" s="10" t="s">
        <v>201</v>
      </c>
      <c r="O98" s="4" t="s">
        <v>298</v>
      </c>
      <c r="P98" s="11" t="s">
        <v>77</v>
      </c>
      <c r="Q98" s="11" t="s">
        <v>36</v>
      </c>
      <c r="R98" s="23" t="s">
        <v>441</v>
      </c>
      <c r="S98" s="4" t="s">
        <v>298</v>
      </c>
      <c r="U98" s="63" t="s">
        <v>1527</v>
      </c>
    </row>
    <row r="99" spans="1:22" ht="26.45">
      <c r="A99" s="23" t="s">
        <v>443</v>
      </c>
      <c r="B99" s="5" t="s">
        <v>182</v>
      </c>
      <c r="C99" s="11" t="str">
        <f t="shared" ref="C99:C130" si="3">F99&amp;" - "&amp;D99&amp;" - "&amp;E99</f>
        <v>CSJ - Migración AWS - Cloud</v>
      </c>
      <c r="D99" s="5" t="s">
        <v>183</v>
      </c>
      <c r="E99" s="5" t="s">
        <v>68</v>
      </c>
      <c r="F99" s="5" t="s">
        <v>184</v>
      </c>
      <c r="G99" s="4" t="s">
        <v>70</v>
      </c>
      <c r="H99" s="11" t="str">
        <f>_xlfn.IFNA(VLOOKUP(F99,clientes!A:B,2,FALSE()),"--")</f>
        <v>Consejo Superior de la Judicatura</v>
      </c>
      <c r="I99" s="5" t="s">
        <v>71</v>
      </c>
      <c r="J99" s="6" t="s">
        <v>185</v>
      </c>
      <c r="K99" s="7" t="s">
        <v>186</v>
      </c>
      <c r="L99" s="10" t="s">
        <v>124</v>
      </c>
      <c r="M99" s="13" t="s">
        <v>187</v>
      </c>
      <c r="N99" s="10" t="s">
        <v>201</v>
      </c>
      <c r="O99" s="4" t="s">
        <v>444</v>
      </c>
      <c r="P99" s="11" t="s">
        <v>77</v>
      </c>
      <c r="Q99" s="11" t="s">
        <v>36</v>
      </c>
      <c r="R99" s="23" t="s">
        <v>188</v>
      </c>
      <c r="S99" s="10" t="s">
        <v>37</v>
      </c>
      <c r="U99" s="66" t="s">
        <v>1527</v>
      </c>
    </row>
    <row r="100" spans="1:22" ht="13.15">
      <c r="A100" s="22" t="s">
        <v>443</v>
      </c>
      <c r="B100" s="5" t="s">
        <v>43</v>
      </c>
      <c r="C100" s="11" t="str">
        <f t="shared" si="3"/>
        <v>BLD - All-Start Program LATAM - Internal</v>
      </c>
      <c r="D100" s="4" t="s">
        <v>445</v>
      </c>
      <c r="E100" s="5" t="s">
        <v>30</v>
      </c>
      <c r="F100" s="5" t="s">
        <v>31</v>
      </c>
      <c r="G100" s="5" t="s">
        <v>32</v>
      </c>
      <c r="H100" s="11" t="str">
        <f>_xlfn.IFNA(VLOOKUP(F100,clientes!A:B,2,FALSE()),"--")</f>
        <v>Blend360</v>
      </c>
      <c r="I100" s="5" t="s">
        <v>33</v>
      </c>
      <c r="J100" s="11" t="s">
        <v>34</v>
      </c>
      <c r="K100" s="5" t="s">
        <v>34</v>
      </c>
      <c r="L100" s="4" t="s">
        <v>34</v>
      </c>
      <c r="M100" s="4" t="s">
        <v>34</v>
      </c>
      <c r="N100" s="4" t="s">
        <v>34</v>
      </c>
      <c r="O100" s="4" t="s">
        <v>34</v>
      </c>
      <c r="P100" s="11" t="s">
        <v>35</v>
      </c>
      <c r="Q100" s="11" t="s">
        <v>36</v>
      </c>
      <c r="R100" s="22">
        <v>5045</v>
      </c>
      <c r="S100" s="10" t="s">
        <v>37</v>
      </c>
      <c r="U100" s="65" t="s">
        <v>1565</v>
      </c>
    </row>
    <row r="101" spans="1:22" ht="39.6">
      <c r="A101" s="23" t="s">
        <v>446</v>
      </c>
      <c r="B101" s="5" t="s">
        <v>447</v>
      </c>
      <c r="C101" s="11" t="str">
        <f t="shared" si="3"/>
        <v>CSJ - PoC Agente para exposición contenido - Cloud</v>
      </c>
      <c r="D101" s="5" t="s">
        <v>448</v>
      </c>
      <c r="E101" s="5" t="s">
        <v>68</v>
      </c>
      <c r="F101" s="5" t="s">
        <v>184</v>
      </c>
      <c r="G101" s="4" t="s">
        <v>70</v>
      </c>
      <c r="H101" s="11" t="str">
        <f>_xlfn.IFNA(VLOOKUP(F101,clientes!A:B,2,FALSE()),"--")</f>
        <v>Consejo Superior de la Judicatura</v>
      </c>
      <c r="I101" s="5" t="s">
        <v>71</v>
      </c>
      <c r="J101" s="12" t="s">
        <v>185</v>
      </c>
      <c r="K101" s="5" t="s">
        <v>449</v>
      </c>
      <c r="L101" s="10" t="s">
        <v>124</v>
      </c>
      <c r="M101" s="10" t="s">
        <v>135</v>
      </c>
      <c r="N101" s="10" t="s">
        <v>201</v>
      </c>
      <c r="O101" s="4" t="s">
        <v>444</v>
      </c>
      <c r="P101" s="11" t="s">
        <v>77</v>
      </c>
      <c r="Q101" s="11" t="s">
        <v>36</v>
      </c>
      <c r="R101" s="23" t="s">
        <v>450</v>
      </c>
      <c r="S101" s="10" t="s">
        <v>37</v>
      </c>
      <c r="U101" s="64" t="s">
        <v>1566</v>
      </c>
    </row>
    <row r="102" spans="1:22" ht="39.6">
      <c r="A102" s="23" t="s">
        <v>451</v>
      </c>
      <c r="B102" s="5" t="s">
        <v>447</v>
      </c>
      <c r="C102" s="11" t="str">
        <f t="shared" si="3"/>
        <v>CSJ - PoC Agente para exposición contenido - Fixed</v>
      </c>
      <c r="D102" s="5" t="s">
        <v>448</v>
      </c>
      <c r="E102" s="5" t="s">
        <v>80</v>
      </c>
      <c r="F102" s="5" t="s">
        <v>184</v>
      </c>
      <c r="G102" s="5" t="s">
        <v>81</v>
      </c>
      <c r="H102" s="11" t="str">
        <f>_xlfn.IFNA(VLOOKUP(F102,clientes!A:B,2,FALSE()),"--")</f>
        <v>Consejo Superior de la Judicatura</v>
      </c>
      <c r="I102" s="5" t="s">
        <v>71</v>
      </c>
      <c r="J102" s="12" t="s">
        <v>185</v>
      </c>
      <c r="K102" s="5" t="s">
        <v>449</v>
      </c>
      <c r="L102" s="10" t="s">
        <v>124</v>
      </c>
      <c r="M102" s="10" t="s">
        <v>135</v>
      </c>
      <c r="N102" s="10" t="s">
        <v>201</v>
      </c>
      <c r="O102" s="4" t="s">
        <v>298</v>
      </c>
      <c r="P102" s="11" t="s">
        <v>77</v>
      </c>
      <c r="Q102" s="11" t="s">
        <v>36</v>
      </c>
      <c r="R102" s="23" t="s">
        <v>450</v>
      </c>
      <c r="S102" s="4" t="s">
        <v>298</v>
      </c>
      <c r="U102" s="65" t="s">
        <v>1567</v>
      </c>
    </row>
    <row r="103" spans="1:22" ht="39.6">
      <c r="A103" s="23" t="s">
        <v>452</v>
      </c>
      <c r="B103" s="5" t="s">
        <v>447</v>
      </c>
      <c r="C103" s="11" t="str">
        <f t="shared" si="3"/>
        <v>CSJ - PoC Agente para exposición contenido - Ret SW</v>
      </c>
      <c r="D103" s="5" t="s">
        <v>448</v>
      </c>
      <c r="E103" s="5" t="s">
        <v>48</v>
      </c>
      <c r="F103" s="5" t="s">
        <v>184</v>
      </c>
      <c r="G103" s="5" t="s">
        <v>50</v>
      </c>
      <c r="H103" s="11" t="str">
        <f>_xlfn.IFNA(VLOOKUP(F103,clientes!A:B,2,FALSE()),"--")</f>
        <v>Consejo Superior de la Judicatura</v>
      </c>
      <c r="I103" s="5" t="s">
        <v>71</v>
      </c>
      <c r="J103" s="12" t="s">
        <v>185</v>
      </c>
      <c r="K103" s="5" t="s">
        <v>449</v>
      </c>
      <c r="L103" s="10" t="s">
        <v>124</v>
      </c>
      <c r="M103" s="10" t="s">
        <v>135</v>
      </c>
      <c r="N103" s="10" t="s">
        <v>201</v>
      </c>
      <c r="O103" s="4" t="s">
        <v>444</v>
      </c>
      <c r="P103" s="11" t="s">
        <v>77</v>
      </c>
      <c r="Q103" s="11" t="s">
        <v>36</v>
      </c>
      <c r="R103" s="23" t="s">
        <v>450</v>
      </c>
      <c r="S103" s="10" t="s">
        <v>37</v>
      </c>
      <c r="U103" s="64" t="s">
        <v>1568</v>
      </c>
    </row>
    <row r="104" spans="1:22" ht="52.9">
      <c r="A104" s="23" t="s">
        <v>453</v>
      </c>
      <c r="B104" s="5" t="s">
        <v>454</v>
      </c>
      <c r="C104" s="11" t="str">
        <f t="shared" si="3"/>
        <v>FOA - Evolución Integral Mojana - Cloud</v>
      </c>
      <c r="D104" s="5" t="s">
        <v>455</v>
      </c>
      <c r="E104" s="5" t="s">
        <v>68</v>
      </c>
      <c r="F104" s="5" t="s">
        <v>238</v>
      </c>
      <c r="G104" s="4" t="s">
        <v>70</v>
      </c>
      <c r="H104" s="11" t="str">
        <f>_xlfn.IFNA(VLOOKUP(F104,clientes!A:B,2,FALSE()),"--")</f>
        <v>Fondo Adaptación</v>
      </c>
      <c r="I104" s="5" t="s">
        <v>33</v>
      </c>
      <c r="J104" s="6" t="s">
        <v>239</v>
      </c>
      <c r="K104" s="51" t="s">
        <v>456</v>
      </c>
      <c r="L104" s="4" t="s">
        <v>315</v>
      </c>
      <c r="M104" s="10" t="s">
        <v>74</v>
      </c>
      <c r="N104" s="10" t="s">
        <v>75</v>
      </c>
      <c r="O104" s="4" t="s">
        <v>397</v>
      </c>
      <c r="P104" s="11" t="s">
        <v>35</v>
      </c>
      <c r="Q104" s="11" t="s">
        <v>36</v>
      </c>
      <c r="R104" s="23" t="s">
        <v>458</v>
      </c>
      <c r="S104" s="4" t="s">
        <v>36</v>
      </c>
      <c r="U104" s="65"/>
    </row>
    <row r="105" spans="1:22" ht="52.9">
      <c r="A105" s="23" t="s">
        <v>464</v>
      </c>
      <c r="B105" s="5" t="s">
        <v>454</v>
      </c>
      <c r="C105" s="11" t="str">
        <f t="shared" si="3"/>
        <v>FOA - Evolución Integral Mojana - Fixed</v>
      </c>
      <c r="D105" s="5" t="s">
        <v>455</v>
      </c>
      <c r="E105" s="5" t="s">
        <v>80</v>
      </c>
      <c r="F105" s="5" t="s">
        <v>238</v>
      </c>
      <c r="G105" s="5" t="s">
        <v>81</v>
      </c>
      <c r="H105" s="11" t="str">
        <f>_xlfn.IFNA(VLOOKUP(F105,clientes!A:B,2,FALSE()),"--")</f>
        <v>Fondo Adaptación</v>
      </c>
      <c r="I105" s="5" t="s">
        <v>33</v>
      </c>
      <c r="J105" s="6" t="s">
        <v>239</v>
      </c>
      <c r="K105" s="51" t="s">
        <v>465</v>
      </c>
      <c r="L105" s="4" t="s">
        <v>315</v>
      </c>
      <c r="M105" s="10" t="s">
        <v>74</v>
      </c>
      <c r="N105" s="10" t="s">
        <v>75</v>
      </c>
      <c r="O105" s="4" t="s">
        <v>397</v>
      </c>
      <c r="P105" s="11" t="s">
        <v>35</v>
      </c>
      <c r="Q105" s="11" t="s">
        <v>36</v>
      </c>
      <c r="R105" s="23" t="s">
        <v>458</v>
      </c>
      <c r="S105" s="4" t="s">
        <v>241</v>
      </c>
      <c r="U105" s="64"/>
    </row>
    <row r="106" spans="1:22" ht="52.9">
      <c r="A106" s="23" t="s">
        <v>466</v>
      </c>
      <c r="B106" s="5" t="s">
        <v>454</v>
      </c>
      <c r="C106" s="11" t="str">
        <f t="shared" si="3"/>
        <v>FOA - Evolución Integral Mojana - Ret</v>
      </c>
      <c r="D106" s="5" t="s">
        <v>455</v>
      </c>
      <c r="E106" s="5" t="s">
        <v>60</v>
      </c>
      <c r="F106" s="5" t="s">
        <v>238</v>
      </c>
      <c r="G106" s="5" t="s">
        <v>61</v>
      </c>
      <c r="H106" s="11" t="str">
        <f>_xlfn.IFNA(VLOOKUP(F106,clientes!A:B,2,FALSE()),"--")</f>
        <v>Fondo Adaptación</v>
      </c>
      <c r="I106" s="5" t="s">
        <v>33</v>
      </c>
      <c r="J106" s="6" t="s">
        <v>239</v>
      </c>
      <c r="K106" s="51" t="s">
        <v>465</v>
      </c>
      <c r="L106" s="4" t="s">
        <v>315</v>
      </c>
      <c r="M106" s="10" t="s">
        <v>74</v>
      </c>
      <c r="N106" s="10" t="s">
        <v>75</v>
      </c>
      <c r="O106" s="4" t="s">
        <v>397</v>
      </c>
      <c r="P106" s="11" t="s">
        <v>35</v>
      </c>
      <c r="Q106" s="11" t="s">
        <v>391</v>
      </c>
      <c r="R106" s="23" t="s">
        <v>458</v>
      </c>
      <c r="S106" s="4" t="s">
        <v>467</v>
      </c>
      <c r="U106" s="65"/>
    </row>
    <row r="107" spans="1:22" ht="52.9">
      <c r="A107" s="23" t="s">
        <v>468</v>
      </c>
      <c r="B107" s="5" t="s">
        <v>454</v>
      </c>
      <c r="C107" s="11" t="str">
        <f t="shared" si="3"/>
        <v>FOA - Evolución Integral Mojana - Ret SW</v>
      </c>
      <c r="D107" s="5" t="s">
        <v>455</v>
      </c>
      <c r="E107" s="5" t="s">
        <v>48</v>
      </c>
      <c r="F107" s="5" t="s">
        <v>238</v>
      </c>
      <c r="G107" s="5" t="s">
        <v>50</v>
      </c>
      <c r="H107" s="11" t="str">
        <f>_xlfn.IFNA(VLOOKUP(F107,clientes!A:B,2,FALSE()),"--")</f>
        <v>Fondo Adaptación</v>
      </c>
      <c r="I107" s="5" t="s">
        <v>33</v>
      </c>
      <c r="J107" s="6" t="s">
        <v>239</v>
      </c>
      <c r="K107" s="51" t="s">
        <v>465</v>
      </c>
      <c r="L107" s="4" t="s">
        <v>315</v>
      </c>
      <c r="M107" s="10" t="s">
        <v>74</v>
      </c>
      <c r="N107" s="10" t="s">
        <v>75</v>
      </c>
      <c r="O107" s="4" t="s">
        <v>397</v>
      </c>
      <c r="P107" s="11" t="s">
        <v>35</v>
      </c>
      <c r="Q107" s="11" t="s">
        <v>36</v>
      </c>
      <c r="R107" s="23" t="s">
        <v>458</v>
      </c>
      <c r="S107" s="10" t="s">
        <v>37</v>
      </c>
      <c r="U107" s="64"/>
    </row>
    <row r="108" spans="1:22" ht="26.45">
      <c r="A108" s="23" t="s">
        <v>469</v>
      </c>
      <c r="B108" s="5" t="s">
        <v>454</v>
      </c>
      <c r="C108" s="11" t="str">
        <f t="shared" si="3"/>
        <v>FOA - Evolución Integral Mojana - Ret Other Vendors</v>
      </c>
      <c r="D108" s="5" t="s">
        <v>455</v>
      </c>
      <c r="E108" s="5" t="s">
        <v>347</v>
      </c>
      <c r="F108" s="5" t="s">
        <v>238</v>
      </c>
      <c r="G108" s="5" t="s">
        <v>61</v>
      </c>
      <c r="H108" s="11" t="str">
        <f>_xlfn.IFNA(VLOOKUP(F108,clientes!A:B,2,FALSE()),"--")</f>
        <v>Fondo Adaptación</v>
      </c>
      <c r="I108" s="5" t="s">
        <v>33</v>
      </c>
      <c r="J108" s="6" t="s">
        <v>239</v>
      </c>
      <c r="K108" s="51" t="s">
        <v>465</v>
      </c>
      <c r="L108" s="4" t="s">
        <v>315</v>
      </c>
      <c r="M108" s="10" t="s">
        <v>74</v>
      </c>
      <c r="N108" s="10" t="s">
        <v>75</v>
      </c>
      <c r="O108" s="4" t="s">
        <v>397</v>
      </c>
      <c r="P108" s="11" t="s">
        <v>35</v>
      </c>
      <c r="Q108" s="11" t="s">
        <v>36</v>
      </c>
      <c r="R108" s="23" t="s">
        <v>348</v>
      </c>
      <c r="S108" s="10" t="s">
        <v>37</v>
      </c>
      <c r="T108"/>
      <c r="U108" s="65"/>
      <c r="V108"/>
    </row>
    <row r="109" spans="1:22" ht="26.45">
      <c r="A109" s="23" t="s">
        <v>470</v>
      </c>
      <c r="B109" s="5" t="s">
        <v>471</v>
      </c>
      <c r="C109" s="11" t="str">
        <f t="shared" si="3"/>
        <v>UNA - Facultad de Derecho concurso méritos - Cloud</v>
      </c>
      <c r="D109" s="5" t="s">
        <v>472</v>
      </c>
      <c r="E109" s="5" t="s">
        <v>68</v>
      </c>
      <c r="F109" s="5" t="s">
        <v>192</v>
      </c>
      <c r="G109" s="4" t="s">
        <v>70</v>
      </c>
      <c r="H109" s="11" t="str">
        <f>_xlfn.IFNA(VLOOKUP(F109,clientes!A:B,2,FALSE()),"--")</f>
        <v>Universidad Nacional de Colombia</v>
      </c>
      <c r="I109" s="5" t="s">
        <v>33</v>
      </c>
      <c r="J109" s="15" t="s">
        <v>210</v>
      </c>
      <c r="K109" s="19" t="s">
        <v>194</v>
      </c>
      <c r="L109" s="4" t="s">
        <v>53</v>
      </c>
      <c r="M109" s="10" t="s">
        <v>95</v>
      </c>
      <c r="N109" s="10" t="s">
        <v>136</v>
      </c>
      <c r="O109" s="4" t="s">
        <v>137</v>
      </c>
      <c r="P109" s="11" t="s">
        <v>35</v>
      </c>
      <c r="Q109" s="11" t="s">
        <v>36</v>
      </c>
      <c r="R109" s="23" t="s">
        <v>473</v>
      </c>
      <c r="S109" s="10" t="s">
        <v>37</v>
      </c>
      <c r="U109" s="64"/>
    </row>
    <row r="110" spans="1:22" ht="26.45">
      <c r="A110" s="23" t="s">
        <v>474</v>
      </c>
      <c r="B110" s="5" t="s">
        <v>471</v>
      </c>
      <c r="C110" s="11" t="str">
        <f t="shared" si="3"/>
        <v>UNA - Facultad de Derecho concurso méritos - Ret</v>
      </c>
      <c r="D110" s="5" t="s">
        <v>472</v>
      </c>
      <c r="E110" s="5" t="s">
        <v>60</v>
      </c>
      <c r="F110" s="5" t="s">
        <v>192</v>
      </c>
      <c r="G110" s="5" t="s">
        <v>61</v>
      </c>
      <c r="H110" s="11" t="str">
        <f>_xlfn.IFNA(VLOOKUP(F110,clientes!A:B,2,FALSE()),"--")</f>
        <v>Universidad Nacional de Colombia</v>
      </c>
      <c r="I110" s="5" t="s">
        <v>33</v>
      </c>
      <c r="J110" s="15" t="s">
        <v>210</v>
      </c>
      <c r="K110" s="19" t="s">
        <v>194</v>
      </c>
      <c r="L110" s="4" t="s">
        <v>53</v>
      </c>
      <c r="M110" s="10" t="s">
        <v>95</v>
      </c>
      <c r="N110" s="10" t="s">
        <v>136</v>
      </c>
      <c r="O110" s="4" t="s">
        <v>137</v>
      </c>
      <c r="P110" s="11" t="s">
        <v>35</v>
      </c>
      <c r="Q110" s="11" t="s">
        <v>36</v>
      </c>
      <c r="R110" s="23" t="s">
        <v>473</v>
      </c>
      <c r="S110" s="4" t="s">
        <v>138</v>
      </c>
      <c r="U110" s="65"/>
    </row>
    <row r="111" spans="1:22" ht="13.15">
      <c r="A111" s="23" t="s">
        <v>475</v>
      </c>
      <c r="B111" s="5" t="s">
        <v>476</v>
      </c>
      <c r="C111" s="11" t="str">
        <f t="shared" si="3"/>
        <v>UNA - OSE 26 Admisiones - Cloud</v>
      </c>
      <c r="D111" s="11" t="s">
        <v>477</v>
      </c>
      <c r="E111" s="5" t="s">
        <v>68</v>
      </c>
      <c r="F111" s="5" t="s">
        <v>192</v>
      </c>
      <c r="G111" s="4" t="s">
        <v>70</v>
      </c>
      <c r="H111" s="11" t="str">
        <f>_xlfn.IFNA(VLOOKUP(F111,clientes!A:B,2,FALSE()),"--")</f>
        <v>Universidad Nacional de Colombia</v>
      </c>
      <c r="I111" s="5" t="s">
        <v>33</v>
      </c>
      <c r="J111" s="15" t="s">
        <v>193</v>
      </c>
      <c r="K111" s="19" t="s">
        <v>194</v>
      </c>
      <c r="L111" s="4" t="s">
        <v>53</v>
      </c>
      <c r="M111" s="10" t="s">
        <v>95</v>
      </c>
      <c r="N111" s="10" t="s">
        <v>136</v>
      </c>
      <c r="O111" s="4" t="s">
        <v>137</v>
      </c>
      <c r="P111" s="11" t="s">
        <v>35</v>
      </c>
      <c r="Q111" s="11" t="s">
        <v>36</v>
      </c>
      <c r="R111" s="23" t="s">
        <v>478</v>
      </c>
      <c r="S111" s="10" t="s">
        <v>37</v>
      </c>
      <c r="U111" s="64"/>
    </row>
    <row r="112" spans="1:22" ht="13.15">
      <c r="A112" s="22" t="s">
        <v>479</v>
      </c>
      <c r="B112" s="5" t="s">
        <v>102</v>
      </c>
      <c r="C112" s="11" t="str">
        <f t="shared" si="3"/>
        <v>AGR - Multicash Operación - Cloud</v>
      </c>
      <c r="D112" s="5" t="s">
        <v>480</v>
      </c>
      <c r="E112" s="5" t="s">
        <v>68</v>
      </c>
      <c r="F112" s="5" t="s">
        <v>104</v>
      </c>
      <c r="G112" s="5" t="s">
        <v>70</v>
      </c>
      <c r="H112" s="11" t="str">
        <f>_xlfn.IFNA(VLOOKUP(F112,clientes!A:B,2,FALSE()),"--")</f>
        <v>Fiduagraria</v>
      </c>
      <c r="I112" s="5" t="s">
        <v>71</v>
      </c>
      <c r="J112" s="6" t="s">
        <v>481</v>
      </c>
      <c r="K112" s="7" t="s">
        <v>482</v>
      </c>
      <c r="L112" s="10" t="s">
        <v>73</v>
      </c>
      <c r="M112" s="10" t="s">
        <v>95</v>
      </c>
      <c r="N112" s="10" t="s">
        <v>75</v>
      </c>
      <c r="O112" s="4" t="s">
        <v>107</v>
      </c>
      <c r="P112" s="11" t="s">
        <v>77</v>
      </c>
      <c r="U112" s="65" t="s">
        <v>1569</v>
      </c>
    </row>
    <row r="113" spans="1:25" ht="13.15">
      <c r="A113" s="22" t="s">
        <v>483</v>
      </c>
      <c r="B113" s="5" t="s">
        <v>102</v>
      </c>
      <c r="C113" s="11" t="str">
        <f t="shared" si="3"/>
        <v>AGR - Quicksight Operación  - Cloud</v>
      </c>
      <c r="D113" s="5" t="s">
        <v>484</v>
      </c>
      <c r="E113" s="5" t="s">
        <v>68</v>
      </c>
      <c r="F113" s="5" t="s">
        <v>104</v>
      </c>
      <c r="G113" s="4" t="s">
        <v>70</v>
      </c>
      <c r="H113" s="11" t="str">
        <f>_xlfn.IFNA(VLOOKUP(F113,clientes!A:B,2,FALSE()),"--")</f>
        <v>Fiduagraria</v>
      </c>
      <c r="I113" s="5" t="s">
        <v>71</v>
      </c>
      <c r="J113" s="12" t="s">
        <v>105</v>
      </c>
      <c r="K113" s="53" t="s">
        <v>106</v>
      </c>
      <c r="L113" s="10" t="s">
        <v>73</v>
      </c>
      <c r="M113" s="10" t="s">
        <v>95</v>
      </c>
      <c r="N113" s="10" t="s">
        <v>75</v>
      </c>
      <c r="O113" s="4" t="s">
        <v>107</v>
      </c>
      <c r="P113" s="11" t="s">
        <v>77</v>
      </c>
      <c r="U113" s="64" t="s">
        <v>1570</v>
      </c>
    </row>
    <row r="114" spans="1:25" ht="13.15">
      <c r="A114" s="22" t="s">
        <v>485</v>
      </c>
      <c r="B114" s="5" t="s">
        <v>102</v>
      </c>
      <c r="C114" s="11" t="str">
        <f t="shared" si="3"/>
        <v>AGR - Snaptask Operación  - Ret SW</v>
      </c>
      <c r="D114" s="5" t="s">
        <v>486</v>
      </c>
      <c r="E114" s="4" t="s">
        <v>48</v>
      </c>
      <c r="F114" s="5" t="s">
        <v>104</v>
      </c>
      <c r="G114" s="5" t="s">
        <v>50</v>
      </c>
      <c r="H114" s="11" t="str">
        <f>_xlfn.IFNA(VLOOKUP(F114,clientes!A:B,2,FALSE()),"--")</f>
        <v>Fiduagraria</v>
      </c>
      <c r="I114" s="5" t="s">
        <v>71</v>
      </c>
      <c r="J114" s="12" t="s">
        <v>111</v>
      </c>
      <c r="K114" s="27" t="s">
        <v>112</v>
      </c>
      <c r="L114" s="10" t="s">
        <v>73</v>
      </c>
      <c r="M114" s="10" t="s">
        <v>95</v>
      </c>
      <c r="N114" s="10" t="s">
        <v>75</v>
      </c>
      <c r="O114" s="4" t="s">
        <v>107</v>
      </c>
      <c r="P114" s="11" t="s">
        <v>77</v>
      </c>
      <c r="U114" s="65" t="s">
        <v>1571</v>
      </c>
    </row>
    <row r="115" spans="1:25" ht="13.15">
      <c r="A115" s="23" t="s">
        <v>487</v>
      </c>
      <c r="B115" s="5" t="s">
        <v>488</v>
      </c>
      <c r="C115" s="11" t="str">
        <f t="shared" si="3"/>
        <v>UNA - OSE 43 Moodle Extensión - Cloud</v>
      </c>
      <c r="D115" s="5" t="s">
        <v>489</v>
      </c>
      <c r="E115" s="5" t="s">
        <v>68</v>
      </c>
      <c r="F115" s="5" t="s">
        <v>192</v>
      </c>
      <c r="G115" s="4" t="s">
        <v>70</v>
      </c>
      <c r="H115" s="11" t="str">
        <f>_xlfn.IFNA(VLOOKUP(F115,clientes!A:B,2,FALSE()),"--")</f>
        <v>Universidad Nacional de Colombia</v>
      </c>
      <c r="I115" s="5" t="s">
        <v>33</v>
      </c>
      <c r="J115" s="15" t="s">
        <v>193</v>
      </c>
      <c r="K115" s="19" t="s">
        <v>194</v>
      </c>
      <c r="L115" s="4" t="s">
        <v>53</v>
      </c>
      <c r="M115" s="10" t="s">
        <v>95</v>
      </c>
      <c r="N115" s="10" t="s">
        <v>136</v>
      </c>
      <c r="O115" s="4" t="s">
        <v>137</v>
      </c>
      <c r="P115" s="11" t="s">
        <v>35</v>
      </c>
      <c r="Q115" s="11" t="s">
        <v>36</v>
      </c>
      <c r="R115" s="23" t="s">
        <v>490</v>
      </c>
      <c r="S115" s="10" t="s">
        <v>37</v>
      </c>
      <c r="U115" s="64"/>
    </row>
    <row r="116" spans="1:25" ht="13.15">
      <c r="A116" s="23" t="s">
        <v>491</v>
      </c>
      <c r="B116" s="5" t="s">
        <v>488</v>
      </c>
      <c r="C116" s="11" t="str">
        <f t="shared" si="3"/>
        <v>UNA - OSE 43 Moodle Extensión - Ret</v>
      </c>
      <c r="D116" s="5" t="s">
        <v>489</v>
      </c>
      <c r="E116" s="5" t="s">
        <v>60</v>
      </c>
      <c r="F116" s="5" t="s">
        <v>192</v>
      </c>
      <c r="G116" s="5" t="s">
        <v>61</v>
      </c>
      <c r="H116" s="11" t="str">
        <f>_xlfn.IFNA(VLOOKUP(F116,clientes!A:B,2,FALSE()),"--")</f>
        <v>Universidad Nacional de Colombia</v>
      </c>
      <c r="I116" s="5" t="s">
        <v>33</v>
      </c>
      <c r="J116" s="15" t="s">
        <v>193</v>
      </c>
      <c r="K116" s="19" t="s">
        <v>194</v>
      </c>
      <c r="L116" s="4" t="s">
        <v>53</v>
      </c>
      <c r="M116" s="10" t="s">
        <v>95</v>
      </c>
      <c r="N116" s="10" t="s">
        <v>136</v>
      </c>
      <c r="O116" s="4" t="s">
        <v>137</v>
      </c>
      <c r="P116" s="11" t="s">
        <v>35</v>
      </c>
      <c r="R116" s="22">
        <v>2623</v>
      </c>
      <c r="U116" s="65"/>
    </row>
    <row r="117" spans="1:25" ht="13.15">
      <c r="A117" s="23" t="s">
        <v>189</v>
      </c>
      <c r="B117" s="5" t="s">
        <v>492</v>
      </c>
      <c r="C117" s="11" t="str">
        <f t="shared" si="3"/>
        <v>UNA - Dinara de UNAL - Ret</v>
      </c>
      <c r="D117" s="5" t="s">
        <v>493</v>
      </c>
      <c r="E117" s="5" t="s">
        <v>60</v>
      </c>
      <c r="F117" s="5" t="s">
        <v>192</v>
      </c>
      <c r="G117" s="5" t="s">
        <v>61</v>
      </c>
      <c r="H117" s="11" t="str">
        <f>_xlfn.IFNA(VLOOKUP(F117,clientes!A:B,2,FALSE()),"--")</f>
        <v>Universidad Nacional de Colombia</v>
      </c>
      <c r="I117" s="5" t="s">
        <v>33</v>
      </c>
      <c r="J117" s="55" t="s">
        <v>193</v>
      </c>
      <c r="K117" s="56" t="s">
        <v>194</v>
      </c>
      <c r="L117" s="4" t="s">
        <v>53</v>
      </c>
      <c r="M117" s="10" t="s">
        <v>95</v>
      </c>
      <c r="N117" s="10" t="s">
        <v>136</v>
      </c>
      <c r="O117" s="4" t="s">
        <v>137</v>
      </c>
      <c r="P117" s="11" t="s">
        <v>35</v>
      </c>
      <c r="R117" s="22">
        <v>2618</v>
      </c>
      <c r="U117" s="64"/>
    </row>
    <row r="118" spans="1:25" ht="13.15">
      <c r="A118" s="23" t="s">
        <v>494</v>
      </c>
      <c r="B118" s="5" t="s">
        <v>492</v>
      </c>
      <c r="C118" s="11" t="str">
        <f t="shared" si="3"/>
        <v>UNA - Dinara de UNAL - Cloud</v>
      </c>
      <c r="D118" s="5" t="s">
        <v>493</v>
      </c>
      <c r="E118" s="5" t="s">
        <v>68</v>
      </c>
      <c r="F118" s="5" t="s">
        <v>192</v>
      </c>
      <c r="G118" s="4" t="s">
        <v>70</v>
      </c>
      <c r="H118" s="11" t="str">
        <f>_xlfn.IFNA(VLOOKUP(F118,clientes!A:B,2,FALSE()),"--")</f>
        <v>Universidad Nacional de Colombia</v>
      </c>
      <c r="I118" s="5" t="s">
        <v>33</v>
      </c>
      <c r="J118" s="15" t="s">
        <v>193</v>
      </c>
      <c r="K118" s="19" t="s">
        <v>194</v>
      </c>
      <c r="L118" s="4" t="s">
        <v>53</v>
      </c>
      <c r="M118" s="10" t="s">
        <v>95</v>
      </c>
      <c r="N118" s="10" t="s">
        <v>136</v>
      </c>
      <c r="O118" s="4" t="s">
        <v>137</v>
      </c>
      <c r="P118" s="11" t="s">
        <v>35</v>
      </c>
      <c r="Q118" s="11" t="s">
        <v>36</v>
      </c>
      <c r="R118" s="23" t="s">
        <v>495</v>
      </c>
      <c r="S118" s="10" t="s">
        <v>37</v>
      </c>
      <c r="U118" s="65"/>
    </row>
    <row r="119" spans="1:25" ht="13.15">
      <c r="A119" s="23" t="s">
        <v>496</v>
      </c>
      <c r="B119" s="58" t="s">
        <v>497</v>
      </c>
      <c r="C119" s="11" t="str">
        <f t="shared" si="3"/>
        <v>UNA - Facultad de Derecho - Cloud</v>
      </c>
      <c r="D119" s="5" t="s">
        <v>498</v>
      </c>
      <c r="E119" s="5" t="s">
        <v>68</v>
      </c>
      <c r="F119" s="5" t="s">
        <v>192</v>
      </c>
      <c r="G119" s="4" t="s">
        <v>70</v>
      </c>
      <c r="H119" s="11" t="str">
        <f>_xlfn.IFNA(VLOOKUP(F119,clientes!A:B,2,FALSE()),"--")</f>
        <v>Universidad Nacional de Colombia</v>
      </c>
      <c r="I119" s="5" t="s">
        <v>33</v>
      </c>
      <c r="J119" s="15" t="s">
        <v>193</v>
      </c>
      <c r="K119" s="19" t="s">
        <v>194</v>
      </c>
      <c r="L119" s="4" t="s">
        <v>53</v>
      </c>
      <c r="M119" s="10" t="s">
        <v>95</v>
      </c>
      <c r="N119" s="10" t="s">
        <v>136</v>
      </c>
      <c r="O119" s="4" t="s">
        <v>137</v>
      </c>
      <c r="P119" s="11" t="s">
        <v>35</v>
      </c>
      <c r="Q119" s="11" t="s">
        <v>36</v>
      </c>
      <c r="R119" s="23" t="s">
        <v>499</v>
      </c>
      <c r="S119" s="10" t="s">
        <v>37</v>
      </c>
      <c r="U119" s="64"/>
    </row>
    <row r="120" spans="1:25" ht="13.15">
      <c r="A120" s="23" t="s">
        <v>500</v>
      </c>
      <c r="B120" s="58" t="s">
        <v>497</v>
      </c>
      <c r="C120" s="11" t="str">
        <f t="shared" si="3"/>
        <v>UNA - Facultad de Derecho - Ret</v>
      </c>
      <c r="D120" s="5" t="s">
        <v>498</v>
      </c>
      <c r="E120" s="5" t="s">
        <v>60</v>
      </c>
      <c r="F120" s="5" t="s">
        <v>192</v>
      </c>
      <c r="G120" s="5" t="s">
        <v>61</v>
      </c>
      <c r="H120" s="11" t="str">
        <f>_xlfn.IFNA(VLOOKUP(F120,clientes!A:B,2,FALSE()),"--")</f>
        <v>Universidad Nacional de Colombia</v>
      </c>
      <c r="I120" s="5" t="s">
        <v>33</v>
      </c>
      <c r="J120" s="15" t="s">
        <v>193</v>
      </c>
      <c r="K120" s="19" t="s">
        <v>194</v>
      </c>
      <c r="L120" s="4" t="s">
        <v>53</v>
      </c>
      <c r="M120" s="10" t="s">
        <v>95</v>
      </c>
      <c r="N120" s="10" t="s">
        <v>136</v>
      </c>
      <c r="O120" s="4" t="s">
        <v>137</v>
      </c>
      <c r="P120" s="11" t="s">
        <v>35</v>
      </c>
      <c r="R120" s="22">
        <v>2619</v>
      </c>
      <c r="U120" s="65"/>
    </row>
    <row r="121" spans="1:25" ht="13.15">
      <c r="A121" s="23" t="s">
        <v>501</v>
      </c>
      <c r="B121" s="5" t="s">
        <v>502</v>
      </c>
      <c r="C121" s="11" t="str">
        <f t="shared" si="3"/>
        <v>UNA - Unisalud - Cloud</v>
      </c>
      <c r="D121" s="4" t="s">
        <v>191</v>
      </c>
      <c r="E121" s="5" t="s">
        <v>68</v>
      </c>
      <c r="F121" s="4" t="s">
        <v>192</v>
      </c>
      <c r="G121" s="4" t="s">
        <v>70</v>
      </c>
      <c r="H121" s="11" t="str">
        <f>_xlfn.IFNA(VLOOKUP(F121,clientes!A:B,2,FALSE()),"--")</f>
        <v>Universidad Nacional de Colombia</v>
      </c>
      <c r="I121" s="5" t="s">
        <v>33</v>
      </c>
      <c r="J121" s="27" t="s">
        <v>193</v>
      </c>
      <c r="K121" s="19" t="s">
        <v>194</v>
      </c>
      <c r="L121" s="4" t="s">
        <v>53</v>
      </c>
      <c r="M121" s="14" t="s">
        <v>95</v>
      </c>
      <c r="N121" s="14" t="s">
        <v>136</v>
      </c>
      <c r="O121" s="4" t="s">
        <v>137</v>
      </c>
      <c r="P121" s="11" t="s">
        <v>35</v>
      </c>
      <c r="Q121" s="11" t="s">
        <v>36</v>
      </c>
      <c r="R121" s="23" t="s">
        <v>503</v>
      </c>
      <c r="S121" s="10" t="s">
        <v>37</v>
      </c>
      <c r="U121" s="64"/>
    </row>
    <row r="122" spans="1:25" ht="52.9">
      <c r="A122" s="23" t="s">
        <v>504</v>
      </c>
      <c r="B122" s="58" t="s">
        <v>505</v>
      </c>
      <c r="C122" s="11" t="str">
        <f t="shared" si="3"/>
        <v>CJU - Vigilancia y MET Plus - Fixed</v>
      </c>
      <c r="D122" s="5" t="s">
        <v>506</v>
      </c>
      <c r="E122" s="5" t="s">
        <v>80</v>
      </c>
      <c r="F122" s="5" t="s">
        <v>198</v>
      </c>
      <c r="G122" s="5" t="s">
        <v>81</v>
      </c>
      <c r="H122" s="11" t="str">
        <f>_xlfn.IFNA(VLOOKUP(F122,clientes!A:B,2,FALSE()),"--")</f>
        <v>Coljuegos</v>
      </c>
      <c r="I122" s="5" t="s">
        <v>33</v>
      </c>
      <c r="J122" s="18" t="s">
        <v>199</v>
      </c>
      <c r="K122" s="18" t="s">
        <v>507</v>
      </c>
      <c r="L122" s="10" t="s">
        <v>134</v>
      </c>
      <c r="M122" s="10" t="s">
        <v>74</v>
      </c>
      <c r="N122" s="10" t="s">
        <v>201</v>
      </c>
      <c r="O122" s="10" t="s">
        <v>202</v>
      </c>
      <c r="P122" s="11" t="s">
        <v>35</v>
      </c>
      <c r="Q122" s="11" t="s">
        <v>508</v>
      </c>
      <c r="R122" s="23" t="s">
        <v>509</v>
      </c>
      <c r="S122" s="10" t="s">
        <v>202</v>
      </c>
      <c r="U122" s="65"/>
    </row>
    <row r="123" spans="1:25" customFormat="1" ht="52.9">
      <c r="A123" s="23" t="s">
        <v>512</v>
      </c>
      <c r="B123" s="58" t="s">
        <v>505</v>
      </c>
      <c r="C123" s="11" t="str">
        <f t="shared" si="3"/>
        <v>CJU - Vigilancia y MET Plus - Cloud</v>
      </c>
      <c r="D123" s="5" t="s">
        <v>506</v>
      </c>
      <c r="E123" s="5" t="s">
        <v>68</v>
      </c>
      <c r="F123" s="5" t="s">
        <v>198</v>
      </c>
      <c r="G123" s="4" t="s">
        <v>70</v>
      </c>
      <c r="H123" s="11" t="str">
        <f>_xlfn.IFNA(VLOOKUP(F123,clientes!A:B,2,FALSE()),"--")</f>
        <v>Coljuegos</v>
      </c>
      <c r="I123" s="5" t="s">
        <v>33</v>
      </c>
      <c r="J123" s="18" t="s">
        <v>199</v>
      </c>
      <c r="K123" s="18" t="s">
        <v>507</v>
      </c>
      <c r="L123" s="10" t="s">
        <v>134</v>
      </c>
      <c r="M123" s="10" t="s">
        <v>74</v>
      </c>
      <c r="N123" s="10" t="s">
        <v>201</v>
      </c>
      <c r="O123" s="4" t="s">
        <v>513</v>
      </c>
      <c r="P123" s="11" t="s">
        <v>35</v>
      </c>
      <c r="Q123" s="11" t="s">
        <v>508</v>
      </c>
      <c r="R123" s="23" t="s">
        <v>509</v>
      </c>
      <c r="S123" s="10" t="s">
        <v>37</v>
      </c>
      <c r="T123" s="4"/>
      <c r="U123" s="64"/>
      <c r="V123" s="4"/>
      <c r="W123" s="4"/>
      <c r="X123" s="4"/>
      <c r="Y123" s="4"/>
    </row>
    <row r="124" spans="1:25" customFormat="1" ht="13.15">
      <c r="A124" s="23" t="s">
        <v>514</v>
      </c>
      <c r="B124" s="5" t="s">
        <v>515</v>
      </c>
      <c r="C124" s="11" t="str">
        <f>F124&amp;" - "&amp;D124&amp;" "</f>
        <v xml:space="preserve">BLD - Product Houndoc Latam </v>
      </c>
      <c r="D124" s="5" t="s">
        <v>516</v>
      </c>
      <c r="E124" s="5" t="s">
        <v>30</v>
      </c>
      <c r="F124" s="42" t="s">
        <v>31</v>
      </c>
      <c r="G124" s="5" t="s">
        <v>32</v>
      </c>
      <c r="H124" s="11" t="str">
        <f>_xlfn.IFNA(VLOOKUP(F124,clientes!A:B,2,FALSE()),"--")</f>
        <v>Blend360</v>
      </c>
      <c r="I124" s="5" t="s">
        <v>33</v>
      </c>
      <c r="J124" s="11" t="s">
        <v>34</v>
      </c>
      <c r="K124" s="5" t="s">
        <v>34</v>
      </c>
      <c r="L124" s="4" t="s">
        <v>34</v>
      </c>
      <c r="M124" s="4" t="s">
        <v>34</v>
      </c>
      <c r="N124" s="4" t="s">
        <v>34</v>
      </c>
      <c r="O124" s="4" t="s">
        <v>34</v>
      </c>
      <c r="P124" s="11" t="s">
        <v>35</v>
      </c>
      <c r="Q124" s="11" t="s">
        <v>36</v>
      </c>
      <c r="R124" s="22">
        <v>5045</v>
      </c>
      <c r="S124" s="10" t="s">
        <v>37</v>
      </c>
      <c r="U124" s="65" t="s">
        <v>1572</v>
      </c>
      <c r="W124" s="4"/>
      <c r="X124" s="4"/>
      <c r="Y124" s="4"/>
    </row>
    <row r="125" spans="1:25" customFormat="1" ht="13.15">
      <c r="A125" s="23" t="s">
        <v>514</v>
      </c>
      <c r="B125" s="5" t="s">
        <v>517</v>
      </c>
      <c r="C125" s="11" t="str">
        <f t="shared" ref="C125:C152" si="4">F125&amp;" - "&amp;D125&amp;" - "&amp;E125</f>
        <v>BLD - Producto - Houndoc - Internal</v>
      </c>
      <c r="D125" s="5" t="s">
        <v>518</v>
      </c>
      <c r="E125" s="5" t="s">
        <v>30</v>
      </c>
      <c r="F125" s="5" t="s">
        <v>31</v>
      </c>
      <c r="G125" s="5" t="s">
        <v>32</v>
      </c>
      <c r="H125" s="11" t="str">
        <f>_xlfn.IFNA(VLOOKUP(F125,clientes!A:B,2,FALSE()),"--")</f>
        <v>Blend360</v>
      </c>
      <c r="I125" s="5" t="s">
        <v>33</v>
      </c>
      <c r="J125" s="11" t="s">
        <v>34</v>
      </c>
      <c r="K125" s="5" t="s">
        <v>34</v>
      </c>
      <c r="L125" s="10" t="s">
        <v>519</v>
      </c>
      <c r="M125" s="10" t="s">
        <v>519</v>
      </c>
      <c r="N125" s="4" t="s">
        <v>34</v>
      </c>
      <c r="O125" s="4" t="s">
        <v>34</v>
      </c>
      <c r="P125" s="11" t="s">
        <v>35</v>
      </c>
      <c r="Q125" s="11" t="s">
        <v>36</v>
      </c>
      <c r="R125" s="22">
        <v>5053</v>
      </c>
      <c r="S125" s="10" t="s">
        <v>37</v>
      </c>
      <c r="U125" s="64" t="s">
        <v>1573</v>
      </c>
      <c r="W125" s="4"/>
      <c r="X125" s="4"/>
      <c r="Y125" s="4"/>
    </row>
    <row r="126" spans="1:25" customFormat="1" ht="52.9">
      <c r="A126" s="23" t="s">
        <v>520</v>
      </c>
      <c r="B126" s="58" t="s">
        <v>505</v>
      </c>
      <c r="C126" s="11" t="str">
        <f t="shared" si="4"/>
        <v>CJU - Vigilancia y MET Plus - Ret</v>
      </c>
      <c r="D126" s="5" t="s">
        <v>506</v>
      </c>
      <c r="E126" s="5" t="s">
        <v>60</v>
      </c>
      <c r="F126" s="5" t="s">
        <v>198</v>
      </c>
      <c r="G126" s="5" t="s">
        <v>61</v>
      </c>
      <c r="H126" s="11" t="str">
        <f>_xlfn.IFNA(VLOOKUP(F126,clientes!A:B,2,FALSE()),"--")</f>
        <v>Coljuegos</v>
      </c>
      <c r="I126" s="5" t="s">
        <v>33</v>
      </c>
      <c r="J126" s="18" t="s">
        <v>199</v>
      </c>
      <c r="K126" s="18" t="s">
        <v>507</v>
      </c>
      <c r="L126" s="10" t="s">
        <v>134</v>
      </c>
      <c r="M126" s="10" t="s">
        <v>74</v>
      </c>
      <c r="N126" s="10" t="s">
        <v>201</v>
      </c>
      <c r="O126" s="10" t="s">
        <v>202</v>
      </c>
      <c r="P126" s="11" t="s">
        <v>35</v>
      </c>
      <c r="Q126" s="11" t="s">
        <v>508</v>
      </c>
      <c r="R126" s="23" t="s">
        <v>509</v>
      </c>
      <c r="S126" s="10" t="s">
        <v>202</v>
      </c>
      <c r="T126" s="4"/>
      <c r="U126" s="65"/>
      <c r="V126" s="4"/>
      <c r="W126" s="4"/>
      <c r="X126" s="4"/>
      <c r="Y126" s="4"/>
    </row>
    <row r="127" spans="1:25" customFormat="1" ht="52.9">
      <c r="A127" s="23" t="s">
        <v>521</v>
      </c>
      <c r="B127" s="58" t="s">
        <v>505</v>
      </c>
      <c r="C127" s="11" t="str">
        <f t="shared" si="4"/>
        <v>CJU - Vigilancia y MET Plus - Ret SW</v>
      </c>
      <c r="D127" s="5" t="s">
        <v>506</v>
      </c>
      <c r="E127" s="5" t="s">
        <v>48</v>
      </c>
      <c r="F127" s="5" t="s">
        <v>198</v>
      </c>
      <c r="G127" s="5" t="s">
        <v>50</v>
      </c>
      <c r="H127" s="11" t="str">
        <f>_xlfn.IFNA(VLOOKUP(F127,clientes!A:B,2,FALSE()),"--")</f>
        <v>Coljuegos</v>
      </c>
      <c r="I127" s="5" t="s">
        <v>33</v>
      </c>
      <c r="J127" s="18" t="s">
        <v>199</v>
      </c>
      <c r="K127" s="18" t="s">
        <v>507</v>
      </c>
      <c r="L127" s="10" t="s">
        <v>134</v>
      </c>
      <c r="M127" s="10" t="s">
        <v>74</v>
      </c>
      <c r="N127" s="10" t="s">
        <v>201</v>
      </c>
      <c r="O127" s="4" t="s">
        <v>202</v>
      </c>
      <c r="P127" s="11" t="s">
        <v>35</v>
      </c>
      <c r="Q127" s="11" t="s">
        <v>508</v>
      </c>
      <c r="R127" s="23" t="s">
        <v>509</v>
      </c>
      <c r="S127" s="10" t="s">
        <v>37</v>
      </c>
      <c r="T127" s="4"/>
      <c r="U127" s="64"/>
      <c r="V127" s="4"/>
      <c r="W127" s="4"/>
      <c r="X127" s="4"/>
      <c r="Y127" s="4"/>
    </row>
    <row r="128" spans="1:25" customFormat="1" ht="26.45">
      <c r="A128" s="23" t="s">
        <v>522</v>
      </c>
      <c r="B128" s="58" t="s">
        <v>523</v>
      </c>
      <c r="C128" s="11" t="str">
        <f t="shared" si="4"/>
        <v>UNA - Contrato 4 - Servicio Computacion - Cloud</v>
      </c>
      <c r="D128" s="4" t="s">
        <v>524</v>
      </c>
      <c r="E128" s="5" t="s">
        <v>68</v>
      </c>
      <c r="F128" s="4" t="s">
        <v>192</v>
      </c>
      <c r="G128" s="4" t="s">
        <v>70</v>
      </c>
      <c r="H128" s="11" t="str">
        <f>_xlfn.IFNA(VLOOKUP(F128,clientes!A:B,2,FALSE()),"--")</f>
        <v>Universidad Nacional de Colombia</v>
      </c>
      <c r="I128" s="5" t="s">
        <v>33</v>
      </c>
      <c r="J128" s="27" t="s">
        <v>193</v>
      </c>
      <c r="K128" s="19" t="s">
        <v>194</v>
      </c>
      <c r="L128" s="4" t="s">
        <v>53</v>
      </c>
      <c r="M128" s="14" t="s">
        <v>95</v>
      </c>
      <c r="N128" s="14" t="s">
        <v>136</v>
      </c>
      <c r="O128" s="4" t="s">
        <v>137</v>
      </c>
      <c r="P128" s="11" t="s">
        <v>35</v>
      </c>
      <c r="Q128" s="11" t="s">
        <v>391</v>
      </c>
      <c r="R128" s="23" t="s">
        <v>525</v>
      </c>
      <c r="S128" s="10" t="s">
        <v>37</v>
      </c>
      <c r="T128" s="4"/>
      <c r="U128" s="65"/>
      <c r="V128" s="4"/>
      <c r="W128" s="4"/>
      <c r="X128" s="4"/>
      <c r="Y128" s="4"/>
    </row>
    <row r="129" spans="1:25" customFormat="1" ht="26.45">
      <c r="A129" s="23" t="s">
        <v>526</v>
      </c>
      <c r="B129" s="58" t="s">
        <v>523</v>
      </c>
      <c r="C129" s="11" t="str">
        <f t="shared" si="4"/>
        <v>UNA - Contrato 4 - Servicio Computacion - Ret</v>
      </c>
      <c r="D129" s="4" t="s">
        <v>524</v>
      </c>
      <c r="E129" s="5" t="s">
        <v>60</v>
      </c>
      <c r="F129" s="5" t="s">
        <v>192</v>
      </c>
      <c r="G129" s="5" t="s">
        <v>61</v>
      </c>
      <c r="H129" s="11" t="str">
        <f>_xlfn.IFNA(VLOOKUP(F129,clientes!A:B,2,FALSE()),"--")</f>
        <v>Universidad Nacional de Colombia</v>
      </c>
      <c r="I129" s="5" t="s">
        <v>33</v>
      </c>
      <c r="J129" s="27" t="s">
        <v>193</v>
      </c>
      <c r="K129" s="19" t="s">
        <v>194</v>
      </c>
      <c r="L129" s="4" t="s">
        <v>53</v>
      </c>
      <c r="M129" s="14" t="s">
        <v>95</v>
      </c>
      <c r="N129" s="14" t="s">
        <v>136</v>
      </c>
      <c r="O129" s="4" t="s">
        <v>137</v>
      </c>
      <c r="P129" s="11" t="s">
        <v>35</v>
      </c>
      <c r="Q129" s="11" t="s">
        <v>391</v>
      </c>
      <c r="R129" s="23" t="s">
        <v>525</v>
      </c>
      <c r="S129" s="4" t="s">
        <v>138</v>
      </c>
      <c r="U129" s="64"/>
      <c r="W129" s="4"/>
      <c r="X129" s="4"/>
      <c r="Y129" s="4"/>
    </row>
    <row r="130" spans="1:25" customFormat="1" ht="26.45">
      <c r="A130" s="23" t="s">
        <v>527</v>
      </c>
      <c r="B130" s="4" t="s">
        <v>528</v>
      </c>
      <c r="C130" s="11" t="str">
        <f t="shared" si="4"/>
        <v>UNA - Ofc Gestion Ambiental - Cloud</v>
      </c>
      <c r="D130" s="4" t="s">
        <v>529</v>
      </c>
      <c r="E130" s="5" t="s">
        <v>68</v>
      </c>
      <c r="F130" s="4" t="s">
        <v>192</v>
      </c>
      <c r="G130" s="4" t="s">
        <v>70</v>
      </c>
      <c r="H130" s="11" t="str">
        <f>_xlfn.IFNA(VLOOKUP(F130,clientes!A:B,2,FALSE()),"--")</f>
        <v>Universidad Nacional de Colombia</v>
      </c>
      <c r="I130" s="5" t="s">
        <v>33</v>
      </c>
      <c r="J130" s="27" t="s">
        <v>193</v>
      </c>
      <c r="K130" s="19" t="s">
        <v>194</v>
      </c>
      <c r="L130" s="4" t="s">
        <v>53</v>
      </c>
      <c r="M130" s="14" t="s">
        <v>95</v>
      </c>
      <c r="N130" s="14" t="s">
        <v>136</v>
      </c>
      <c r="O130" s="4" t="s">
        <v>137</v>
      </c>
      <c r="P130" s="11" t="s">
        <v>35</v>
      </c>
      <c r="Q130" s="11" t="s">
        <v>36</v>
      </c>
      <c r="R130" s="23" t="s">
        <v>530</v>
      </c>
      <c r="S130" s="10" t="s">
        <v>37</v>
      </c>
      <c r="T130" s="4"/>
      <c r="U130" s="65"/>
      <c r="V130" s="4"/>
      <c r="W130" s="4"/>
      <c r="X130" s="4"/>
      <c r="Y130" s="4"/>
    </row>
    <row r="131" spans="1:25" customFormat="1" ht="26.45">
      <c r="A131" s="23" t="s">
        <v>531</v>
      </c>
      <c r="B131" s="4" t="s">
        <v>528</v>
      </c>
      <c r="C131" s="11" t="str">
        <f t="shared" si="4"/>
        <v>UNA - Ofc Gestion Ambiental - Fixed</v>
      </c>
      <c r="D131" s="4" t="s">
        <v>529</v>
      </c>
      <c r="E131" s="5" t="s">
        <v>80</v>
      </c>
      <c r="F131" s="4" t="s">
        <v>192</v>
      </c>
      <c r="G131" s="5" t="s">
        <v>81</v>
      </c>
      <c r="H131" s="11" t="str">
        <f>_xlfn.IFNA(VLOOKUP(F131,clientes!A:B,2,FALSE()),"--")</f>
        <v>Universidad Nacional de Colombia</v>
      </c>
      <c r="I131" s="5" t="s">
        <v>33</v>
      </c>
      <c r="J131" s="27" t="s">
        <v>193</v>
      </c>
      <c r="K131" s="19" t="s">
        <v>194</v>
      </c>
      <c r="L131" s="4" t="s">
        <v>53</v>
      </c>
      <c r="M131" s="14" t="s">
        <v>95</v>
      </c>
      <c r="N131" s="14" t="s">
        <v>136</v>
      </c>
      <c r="O131" s="4" t="s">
        <v>137</v>
      </c>
      <c r="P131" s="11" t="s">
        <v>35</v>
      </c>
      <c r="Q131" s="11" t="s">
        <v>36</v>
      </c>
      <c r="R131" s="23" t="s">
        <v>530</v>
      </c>
      <c r="S131" s="4" t="s">
        <v>138</v>
      </c>
      <c r="T131" s="4"/>
      <c r="U131" s="64"/>
      <c r="V131" s="4"/>
      <c r="W131" s="4"/>
      <c r="X131" s="4"/>
      <c r="Y131" s="4"/>
    </row>
    <row r="132" spans="1:25" customFormat="1" ht="13.15">
      <c r="A132" s="23" t="s">
        <v>532</v>
      </c>
      <c r="B132" s="58" t="s">
        <v>533</v>
      </c>
      <c r="C132" s="11" t="str">
        <f t="shared" si="4"/>
        <v>CSJ - Continuidad Operación AWS - Cloud</v>
      </c>
      <c r="D132" s="4" t="s">
        <v>534</v>
      </c>
      <c r="E132" s="5" t="s">
        <v>68</v>
      </c>
      <c r="F132" s="5" t="s">
        <v>184</v>
      </c>
      <c r="G132" s="4" t="s">
        <v>70</v>
      </c>
      <c r="H132" s="11" t="str">
        <f>_xlfn.IFNA(VLOOKUP(F132,clientes!A:B,2,FALSE()),"--")</f>
        <v>Consejo Superior de la Judicatura</v>
      </c>
      <c r="I132" s="5" t="s">
        <v>33</v>
      </c>
      <c r="J132" s="6" t="s">
        <v>185</v>
      </c>
      <c r="K132" s="7"/>
      <c r="L132" s="10" t="s">
        <v>124</v>
      </c>
      <c r="M132" s="14" t="s">
        <v>135</v>
      </c>
      <c r="N132" s="14" t="s">
        <v>136</v>
      </c>
      <c r="O132" s="4" t="s">
        <v>137</v>
      </c>
      <c r="P132" s="11" t="s">
        <v>35</v>
      </c>
      <c r="Q132" s="4"/>
      <c r="R132" s="22">
        <v>58571</v>
      </c>
      <c r="S132" s="10" t="s">
        <v>37</v>
      </c>
      <c r="U132" s="65"/>
      <c r="W132" s="4"/>
      <c r="X132" s="4"/>
      <c r="Y132" s="4"/>
    </row>
    <row r="133" spans="1:25" customFormat="1" ht="13.15">
      <c r="A133" s="23" t="s">
        <v>540</v>
      </c>
      <c r="B133" s="58" t="s">
        <v>533</v>
      </c>
      <c r="C133" s="11" t="str">
        <f t="shared" si="4"/>
        <v>CSJ - Continuidad Operación AWS - Ret</v>
      </c>
      <c r="D133" s="4" t="s">
        <v>534</v>
      </c>
      <c r="E133" s="5" t="s">
        <v>60</v>
      </c>
      <c r="F133" s="5" t="s">
        <v>184</v>
      </c>
      <c r="G133" s="5" t="s">
        <v>61</v>
      </c>
      <c r="H133" s="11" t="str">
        <f>_xlfn.IFNA(VLOOKUP(F133,clientes!A:B,2,FALSE()),"--")</f>
        <v>Consejo Superior de la Judicatura</v>
      </c>
      <c r="I133" s="5" t="s">
        <v>33</v>
      </c>
      <c r="J133" s="6" t="s">
        <v>185</v>
      </c>
      <c r="K133" s="7"/>
      <c r="L133" s="10" t="s">
        <v>124</v>
      </c>
      <c r="M133" s="14" t="s">
        <v>135</v>
      </c>
      <c r="N133" s="10" t="s">
        <v>136</v>
      </c>
      <c r="O133" s="4" t="s">
        <v>137</v>
      </c>
      <c r="P133" s="11" t="s">
        <v>35</v>
      </c>
      <c r="Q133" s="4"/>
      <c r="R133" s="22">
        <v>58572</v>
      </c>
      <c r="S133" s="4" t="s">
        <v>138</v>
      </c>
      <c r="U133" s="64"/>
      <c r="W133" s="4"/>
      <c r="X133" s="4"/>
      <c r="Y133" s="4"/>
    </row>
    <row r="134" spans="1:25" customFormat="1" ht="13.15">
      <c r="A134" s="23" t="s">
        <v>541</v>
      </c>
      <c r="B134" s="58" t="s">
        <v>533</v>
      </c>
      <c r="C134" s="11" t="str">
        <f t="shared" si="4"/>
        <v>CSJ - Continuidad Operación AWS - Ret Other Vendors</v>
      </c>
      <c r="D134" s="4" t="s">
        <v>534</v>
      </c>
      <c r="E134" s="5" t="s">
        <v>347</v>
      </c>
      <c r="F134" s="5" t="s">
        <v>184</v>
      </c>
      <c r="G134" s="5" t="s">
        <v>61</v>
      </c>
      <c r="H134" s="11" t="str">
        <f>_xlfn.IFNA(VLOOKUP(F134,clientes!A:B,2,FALSE()),"--")</f>
        <v>Consejo Superior de la Judicatura</v>
      </c>
      <c r="I134" s="5" t="s">
        <v>33</v>
      </c>
      <c r="J134" s="6" t="s">
        <v>185</v>
      </c>
      <c r="K134" s="7"/>
      <c r="L134" s="10" t="s">
        <v>124</v>
      </c>
      <c r="M134" s="14" t="s">
        <v>135</v>
      </c>
      <c r="N134" s="10" t="s">
        <v>136</v>
      </c>
      <c r="O134" s="4" t="s">
        <v>137</v>
      </c>
      <c r="P134" s="11" t="s">
        <v>35</v>
      </c>
      <c r="Q134" s="4"/>
      <c r="R134" s="22">
        <v>58572</v>
      </c>
      <c r="S134" s="4" t="s">
        <v>138</v>
      </c>
      <c r="U134" s="65"/>
      <c r="W134" s="4"/>
      <c r="X134" s="4"/>
      <c r="Y134" s="4"/>
    </row>
    <row r="135" spans="1:25" customFormat="1" ht="13.15">
      <c r="A135" s="22" t="s">
        <v>542</v>
      </c>
      <c r="B135" s="5" t="s">
        <v>543</v>
      </c>
      <c r="C135" s="11" t="str">
        <f t="shared" si="4"/>
        <v>SAN - Soporte y Mantenimiento Quipu 2025 - Ret</v>
      </c>
      <c r="D135" s="5" t="s">
        <v>544</v>
      </c>
      <c r="E135" s="5" t="s">
        <v>60</v>
      </c>
      <c r="F135" s="5" t="s">
        <v>295</v>
      </c>
      <c r="G135" s="5" t="s">
        <v>61</v>
      </c>
      <c r="H135" s="11" t="str">
        <f>_xlfn.IFNA(VLOOKUP(F135,clientes!A:B,2,FALSE()),"--")</f>
        <v>Sanidad</v>
      </c>
      <c r="I135" s="5" t="s">
        <v>33</v>
      </c>
      <c r="J135" s="6" t="s">
        <v>296</v>
      </c>
      <c r="K135" s="27" t="s">
        <v>545</v>
      </c>
      <c r="L135" s="10" t="s">
        <v>134</v>
      </c>
      <c r="M135" s="10" t="s">
        <v>145</v>
      </c>
      <c r="N135" s="10" t="s">
        <v>75</v>
      </c>
      <c r="O135" s="4" t="s">
        <v>334</v>
      </c>
      <c r="P135" s="11" t="s">
        <v>35</v>
      </c>
      <c r="Q135" s="11" t="s">
        <v>299</v>
      </c>
      <c r="R135" s="22">
        <v>58882</v>
      </c>
      <c r="S135" s="10" t="s">
        <v>64</v>
      </c>
      <c r="U135" s="64"/>
      <c r="W135" s="4"/>
      <c r="X135" s="4"/>
      <c r="Y135" s="4"/>
    </row>
    <row r="136" spans="1:25" customFormat="1" ht="13.15">
      <c r="A136" s="22" t="s">
        <v>547</v>
      </c>
      <c r="B136" s="5" t="s">
        <v>543</v>
      </c>
      <c r="C136" s="11" t="str">
        <f t="shared" si="4"/>
        <v>SAN - Soporte y Mantenimiento Quipu 2025 - Fixed</v>
      </c>
      <c r="D136" s="5" t="s">
        <v>544</v>
      </c>
      <c r="E136" s="5" t="s">
        <v>80</v>
      </c>
      <c r="F136" s="5" t="s">
        <v>295</v>
      </c>
      <c r="G136" s="5" t="s">
        <v>81</v>
      </c>
      <c r="H136" s="11" t="str">
        <f>_xlfn.IFNA(VLOOKUP(F136,clientes!A:B,2,FALSE()),"--")</f>
        <v>Sanidad</v>
      </c>
      <c r="I136" s="5" t="s">
        <v>33</v>
      </c>
      <c r="J136" s="6" t="s">
        <v>296</v>
      </c>
      <c r="K136" s="4" t="s">
        <v>297</v>
      </c>
      <c r="L136" s="10" t="s">
        <v>134</v>
      </c>
      <c r="M136" s="10" t="s">
        <v>145</v>
      </c>
      <c r="N136" s="10" t="s">
        <v>75</v>
      </c>
      <c r="O136" s="4" t="s">
        <v>334</v>
      </c>
      <c r="P136" s="11" t="s">
        <v>35</v>
      </c>
      <c r="Q136" s="11" t="s">
        <v>299</v>
      </c>
      <c r="R136" s="22">
        <v>58883</v>
      </c>
      <c r="S136" s="10" t="s">
        <v>64</v>
      </c>
      <c r="U136" s="65"/>
      <c r="W136" s="4"/>
      <c r="X136" s="4"/>
      <c r="Y136" s="4"/>
    </row>
    <row r="137" spans="1:25" customFormat="1" ht="26.45">
      <c r="A137" s="22" t="s">
        <v>548</v>
      </c>
      <c r="B137" s="5" t="s">
        <v>549</v>
      </c>
      <c r="C137" s="11" t="str">
        <f t="shared" si="4"/>
        <v>CAT - Agente Cognitivo e Infraestructura AWS - Cloud</v>
      </c>
      <c r="D137" s="4" t="s">
        <v>550</v>
      </c>
      <c r="E137" s="5" t="s">
        <v>68</v>
      </c>
      <c r="F137" s="4" t="s">
        <v>168</v>
      </c>
      <c r="G137" s="4" t="s">
        <v>70</v>
      </c>
      <c r="H137" s="11" t="str">
        <f>_xlfn.IFNA(VLOOKUP(F137,clientes!A:B,2,FALSE()),"--")</f>
        <v>Unidad Administrativa Especial de Catastro Distrital</v>
      </c>
      <c r="I137" s="5" t="s">
        <v>33</v>
      </c>
      <c r="J137" s="6" t="s">
        <v>169</v>
      </c>
      <c r="K137" s="19" t="s">
        <v>551</v>
      </c>
      <c r="L137" s="4" t="s">
        <v>53</v>
      </c>
      <c r="M137" s="14" t="s">
        <v>95</v>
      </c>
      <c r="N137" s="10" t="s">
        <v>75</v>
      </c>
      <c r="O137" s="4" t="s">
        <v>171</v>
      </c>
      <c r="P137" s="11" t="s">
        <v>35</v>
      </c>
      <c r="Q137" s="4"/>
      <c r="R137" s="22">
        <v>9999</v>
      </c>
      <c r="S137" s="4" t="s">
        <v>37</v>
      </c>
      <c r="U137" s="64"/>
      <c r="W137" s="4"/>
      <c r="X137" s="4"/>
      <c r="Y137" s="4"/>
    </row>
    <row r="138" spans="1:25" customFormat="1" ht="26.45">
      <c r="A138" s="22" t="s">
        <v>552</v>
      </c>
      <c r="B138" s="5" t="s">
        <v>549</v>
      </c>
      <c r="C138" s="11" t="str">
        <f t="shared" si="4"/>
        <v>CAT - Agente Cognitivo e Infraestructura AWS - Ret</v>
      </c>
      <c r="D138" s="4" t="s">
        <v>550</v>
      </c>
      <c r="E138" s="4" t="s">
        <v>60</v>
      </c>
      <c r="F138" s="4" t="s">
        <v>168</v>
      </c>
      <c r="G138" s="5" t="s">
        <v>61</v>
      </c>
      <c r="H138" s="11" t="str">
        <f>_xlfn.IFNA(VLOOKUP(F138,clientes!A:B,2,FALSE()),"--")</f>
        <v>Unidad Administrativa Especial de Catastro Distrital</v>
      </c>
      <c r="I138" s="5" t="s">
        <v>33</v>
      </c>
      <c r="J138" s="6" t="s">
        <v>169</v>
      </c>
      <c r="K138" s="19" t="s">
        <v>551</v>
      </c>
      <c r="L138" s="4" t="s">
        <v>53</v>
      </c>
      <c r="M138" s="14" t="s">
        <v>95</v>
      </c>
      <c r="N138" s="10" t="s">
        <v>75</v>
      </c>
      <c r="O138" s="4" t="s">
        <v>171</v>
      </c>
      <c r="P138" s="11" t="s">
        <v>35</v>
      </c>
      <c r="Q138" s="4"/>
      <c r="R138" s="22">
        <v>9999</v>
      </c>
      <c r="S138" s="4" t="s">
        <v>171</v>
      </c>
      <c r="U138" s="65"/>
      <c r="W138" s="4"/>
      <c r="X138" s="4"/>
      <c r="Y138" s="4"/>
    </row>
    <row r="139" spans="1:25" customFormat="1" ht="26.45">
      <c r="A139" s="22" t="s">
        <v>553</v>
      </c>
      <c r="B139" s="5" t="s">
        <v>549</v>
      </c>
      <c r="C139" s="11" t="str">
        <f t="shared" si="4"/>
        <v>CAT - Agente Cognitivo e Infraestructura AWS - Ret SW</v>
      </c>
      <c r="D139" s="4" t="s">
        <v>550</v>
      </c>
      <c r="E139" s="4" t="s">
        <v>48</v>
      </c>
      <c r="F139" s="4" t="s">
        <v>168</v>
      </c>
      <c r="G139" s="5" t="s">
        <v>50</v>
      </c>
      <c r="H139" s="11" t="str">
        <f>_xlfn.IFNA(VLOOKUP(F139,clientes!A:B,2,FALSE()),"--")</f>
        <v>Unidad Administrativa Especial de Catastro Distrital</v>
      </c>
      <c r="I139" s="5" t="s">
        <v>33</v>
      </c>
      <c r="J139" s="6" t="s">
        <v>169</v>
      </c>
      <c r="K139" s="19" t="s">
        <v>551</v>
      </c>
      <c r="L139" s="4" t="s">
        <v>53</v>
      </c>
      <c r="M139" s="14" t="s">
        <v>95</v>
      </c>
      <c r="N139" s="10" t="s">
        <v>75</v>
      </c>
      <c r="O139" s="4" t="s">
        <v>171</v>
      </c>
      <c r="P139" s="11" t="s">
        <v>35</v>
      </c>
      <c r="Q139" s="4"/>
      <c r="R139" s="22">
        <v>9999</v>
      </c>
      <c r="S139" s="4" t="s">
        <v>37</v>
      </c>
      <c r="U139" s="64"/>
      <c r="W139" s="4"/>
      <c r="X139" s="4"/>
      <c r="Y139" s="4"/>
    </row>
    <row r="140" spans="1:25" customFormat="1" ht="26.45">
      <c r="A140" s="22" t="s">
        <v>554</v>
      </c>
      <c r="B140" s="5" t="s">
        <v>549</v>
      </c>
      <c r="C140" s="11" t="str">
        <f t="shared" si="4"/>
        <v>CAT - Agente Cognitivo e Infraestructura AWS - Fixed</v>
      </c>
      <c r="D140" s="4" t="s">
        <v>550</v>
      </c>
      <c r="E140" s="4" t="s">
        <v>80</v>
      </c>
      <c r="F140" s="4" t="s">
        <v>168</v>
      </c>
      <c r="G140" s="5" t="s">
        <v>81</v>
      </c>
      <c r="H140" s="11" t="str">
        <f>_xlfn.IFNA(VLOOKUP(F140,clientes!A:B,2,FALSE()),"--")</f>
        <v>Unidad Administrativa Especial de Catastro Distrital</v>
      </c>
      <c r="I140" s="5" t="s">
        <v>33</v>
      </c>
      <c r="J140" s="6" t="s">
        <v>169</v>
      </c>
      <c r="K140" s="19" t="s">
        <v>551</v>
      </c>
      <c r="L140" s="4" t="s">
        <v>53</v>
      </c>
      <c r="M140" s="14" t="s">
        <v>95</v>
      </c>
      <c r="N140" s="10" t="s">
        <v>75</v>
      </c>
      <c r="O140" s="4" t="s">
        <v>171</v>
      </c>
      <c r="P140" s="11" t="s">
        <v>35</v>
      </c>
      <c r="Q140" s="4"/>
      <c r="R140" s="22">
        <v>9999</v>
      </c>
      <c r="S140" s="4" t="s">
        <v>171</v>
      </c>
      <c r="U140" s="65"/>
      <c r="W140" s="4"/>
      <c r="X140" s="4"/>
      <c r="Y140" s="4"/>
    </row>
    <row r="141" spans="1:25" customFormat="1" ht="13.15">
      <c r="A141" s="22" t="s">
        <v>555</v>
      </c>
      <c r="B141" s="5" t="s">
        <v>556</v>
      </c>
      <c r="C141" s="11" t="str">
        <f t="shared" si="4"/>
        <v>UCA - Soporte y Mtto Quipu 2025 - Ret</v>
      </c>
      <c r="D141" s="4" t="s">
        <v>408</v>
      </c>
      <c r="E141" s="4" t="s">
        <v>60</v>
      </c>
      <c r="F141" s="4" t="s">
        <v>331</v>
      </c>
      <c r="G141" s="5" t="s">
        <v>61</v>
      </c>
      <c r="H141" s="11" t="str">
        <f>_xlfn.IFNA(VLOOKUP(F141,clientes!A:B,2,FALSE()),"--")</f>
        <v>Universidad de Caldas</v>
      </c>
      <c r="I141" s="5" t="s">
        <v>33</v>
      </c>
      <c r="J141" s="12" t="s">
        <v>332</v>
      </c>
      <c r="K141" s="27" t="s">
        <v>557</v>
      </c>
      <c r="L141" s="10" t="s">
        <v>53</v>
      </c>
      <c r="M141" s="14" t="s">
        <v>95</v>
      </c>
      <c r="N141" s="10" t="s">
        <v>75</v>
      </c>
      <c r="O141" s="4" t="s">
        <v>334</v>
      </c>
      <c r="P141" s="11" t="s">
        <v>35</v>
      </c>
      <c r="Q141" s="4" t="s">
        <v>335</v>
      </c>
      <c r="R141" s="22" t="s">
        <v>558</v>
      </c>
      <c r="S141" s="4"/>
      <c r="U141" s="64"/>
      <c r="W141" s="4"/>
      <c r="X141" s="4"/>
      <c r="Y141" s="4"/>
    </row>
    <row r="142" spans="1:25" customFormat="1" ht="13.15">
      <c r="A142" s="22" t="s">
        <v>559</v>
      </c>
      <c r="B142" s="5" t="s">
        <v>556</v>
      </c>
      <c r="C142" s="11" t="str">
        <f t="shared" si="4"/>
        <v>UCA - Soporte y Mtto Quipu 2025 - Cloud</v>
      </c>
      <c r="D142" s="4" t="s">
        <v>408</v>
      </c>
      <c r="E142" s="5" t="s">
        <v>68</v>
      </c>
      <c r="F142" s="4" t="s">
        <v>331</v>
      </c>
      <c r="G142" s="4" t="s">
        <v>70</v>
      </c>
      <c r="H142" s="11" t="str">
        <f>_xlfn.IFNA(VLOOKUP(F142,clientes!A:B,2,FALSE()),"--")</f>
        <v>Universidad de Caldas</v>
      </c>
      <c r="I142" s="5" t="s">
        <v>33</v>
      </c>
      <c r="J142" s="12" t="s">
        <v>332</v>
      </c>
      <c r="K142" s="27" t="s">
        <v>557</v>
      </c>
      <c r="L142" s="10" t="s">
        <v>53</v>
      </c>
      <c r="M142" s="14" t="s">
        <v>95</v>
      </c>
      <c r="N142" s="10" t="s">
        <v>75</v>
      </c>
      <c r="O142" s="4" t="s">
        <v>334</v>
      </c>
      <c r="P142" s="11" t="s">
        <v>35</v>
      </c>
      <c r="Q142" s="4" t="s">
        <v>335</v>
      </c>
      <c r="R142" s="22" t="s">
        <v>560</v>
      </c>
      <c r="S142" s="4"/>
      <c r="U142" s="65"/>
      <c r="W142" s="4"/>
      <c r="X142" s="4"/>
      <c r="Y142" s="4"/>
    </row>
    <row r="143" spans="1:25" customFormat="1" ht="26.45">
      <c r="A143" s="22" t="s">
        <v>561</v>
      </c>
      <c r="B143" s="5" t="s">
        <v>562</v>
      </c>
      <c r="C143" s="11" t="str">
        <f t="shared" si="4"/>
        <v>ICF - Evolución Datalake Fase 2 2025 - Cloud</v>
      </c>
      <c r="D143" s="4" t="s">
        <v>563</v>
      </c>
      <c r="E143" s="5" t="s">
        <v>68</v>
      </c>
      <c r="F143" s="4" t="s">
        <v>253</v>
      </c>
      <c r="G143" s="4" t="s">
        <v>70</v>
      </c>
      <c r="H143" s="11" t="str">
        <f>_xlfn.IFNA(VLOOKUP(F143,clientes!A:B,2,FALSE()),"--")</f>
        <v>Instituto Colombiano Para La Evaluacion De La Educacion ICFES</v>
      </c>
      <c r="I143" s="5" t="s">
        <v>33</v>
      </c>
      <c r="J143" s="12" t="s">
        <v>254</v>
      </c>
      <c r="K143" s="19" t="s">
        <v>564</v>
      </c>
      <c r="L143" s="10" t="s">
        <v>134</v>
      </c>
      <c r="M143" s="10" t="s">
        <v>135</v>
      </c>
      <c r="N143" s="10" t="s">
        <v>201</v>
      </c>
      <c r="O143" s="4" t="s">
        <v>256</v>
      </c>
      <c r="P143" s="11" t="s">
        <v>35</v>
      </c>
      <c r="Q143" s="11" t="s">
        <v>36</v>
      </c>
      <c r="R143" s="22"/>
      <c r="S143" s="4"/>
      <c r="U143" s="64"/>
      <c r="W143" s="4"/>
      <c r="X143" s="4"/>
      <c r="Y143" s="4"/>
    </row>
    <row r="144" spans="1:25" customFormat="1" ht="13.15">
      <c r="A144" s="22" t="s">
        <v>565</v>
      </c>
      <c r="B144" s="5" t="s">
        <v>566</v>
      </c>
      <c r="C144" s="11" t="str">
        <f t="shared" si="4"/>
        <v>ACA - Fase 2 Datacali - Fixed</v>
      </c>
      <c r="D144" s="4" t="s">
        <v>567</v>
      </c>
      <c r="E144" s="4" t="s">
        <v>80</v>
      </c>
      <c r="F144" s="4" t="s">
        <v>69</v>
      </c>
      <c r="G144" s="5" t="s">
        <v>81</v>
      </c>
      <c r="H144" s="11" t="str">
        <f>_xlfn.IFNA(VLOOKUP(F144,clientes!A:B,2,FALSE()),"--")</f>
        <v>Alcaldia de Cali</v>
      </c>
      <c r="I144" s="5" t="s">
        <v>71</v>
      </c>
      <c r="J144" s="12" t="s">
        <v>72</v>
      </c>
      <c r="K144" s="4" t="s">
        <v>568</v>
      </c>
      <c r="L144" s="10" t="s">
        <v>73</v>
      </c>
      <c r="M144" s="10" t="s">
        <v>74</v>
      </c>
      <c r="N144" s="10" t="s">
        <v>75</v>
      </c>
      <c r="O144" s="4" t="s">
        <v>569</v>
      </c>
      <c r="P144" s="11" t="s">
        <v>77</v>
      </c>
      <c r="Q144" s="11"/>
      <c r="R144" s="22"/>
      <c r="S144" s="4"/>
      <c r="U144" s="65" t="s">
        <v>1574</v>
      </c>
      <c r="W144" s="4"/>
      <c r="X144" s="4"/>
      <c r="Y144" s="4"/>
    </row>
    <row r="145" spans="1:25" customFormat="1" ht="13.15">
      <c r="A145" s="22" t="s">
        <v>570</v>
      </c>
      <c r="B145" s="5" t="s">
        <v>571</v>
      </c>
      <c r="C145" s="11" t="str">
        <f t="shared" si="4"/>
        <v>ACA - Agente Cognitivo y Soporte Migración - Fixed</v>
      </c>
      <c r="D145" s="4" t="s">
        <v>572</v>
      </c>
      <c r="E145" s="4" t="s">
        <v>80</v>
      </c>
      <c r="F145" s="4" t="s">
        <v>69</v>
      </c>
      <c r="G145" s="5" t="s">
        <v>81</v>
      </c>
      <c r="H145" s="11" t="str">
        <f>_xlfn.IFNA(VLOOKUP(F145,clientes!A:B,2,FALSE()),"--")</f>
        <v>Alcaldia de Cali</v>
      </c>
      <c r="I145" s="5" t="s">
        <v>71</v>
      </c>
      <c r="J145" s="12" t="s">
        <v>72</v>
      </c>
      <c r="K145" s="19" t="s">
        <v>573</v>
      </c>
      <c r="L145" s="10" t="s">
        <v>73</v>
      </c>
      <c r="M145" s="10" t="s">
        <v>74</v>
      </c>
      <c r="N145" s="10" t="s">
        <v>75</v>
      </c>
      <c r="O145" s="4" t="s">
        <v>569</v>
      </c>
      <c r="P145" s="11" t="s">
        <v>77</v>
      </c>
      <c r="Q145" s="11"/>
      <c r="R145" s="22"/>
      <c r="S145" s="4"/>
      <c r="U145" s="64" t="s">
        <v>1574</v>
      </c>
      <c r="W145" s="4"/>
      <c r="X145" s="4"/>
      <c r="Y145" s="4"/>
    </row>
    <row r="146" spans="1:25" customFormat="1" ht="13.15">
      <c r="A146" s="22" t="s">
        <v>574</v>
      </c>
      <c r="B146" s="5" t="s">
        <v>571</v>
      </c>
      <c r="C146" s="11" t="str">
        <f t="shared" si="4"/>
        <v>ACA - Agente Cognitivo y Soporte Migración - Cloud</v>
      </c>
      <c r="D146" s="4" t="s">
        <v>572</v>
      </c>
      <c r="E146" s="5" t="s">
        <v>68</v>
      </c>
      <c r="F146" s="4" t="s">
        <v>69</v>
      </c>
      <c r="G146" s="4" t="s">
        <v>70</v>
      </c>
      <c r="H146" s="11" t="str">
        <f>_xlfn.IFNA(VLOOKUP(F146,clientes!A:B,2,FALSE()),"--")</f>
        <v>Alcaldia de Cali</v>
      </c>
      <c r="I146" s="5" t="s">
        <v>71</v>
      </c>
      <c r="J146" s="12" t="s">
        <v>72</v>
      </c>
      <c r="K146" s="19" t="s">
        <v>573</v>
      </c>
      <c r="L146" s="10" t="s">
        <v>73</v>
      </c>
      <c r="M146" s="10" t="s">
        <v>74</v>
      </c>
      <c r="N146" s="10" t="s">
        <v>136</v>
      </c>
      <c r="O146" s="4" t="s">
        <v>137</v>
      </c>
      <c r="P146" s="11" t="s">
        <v>77</v>
      </c>
      <c r="Q146" s="11"/>
      <c r="R146" s="22"/>
      <c r="S146" s="4"/>
      <c r="U146" s="65" t="s">
        <v>1574</v>
      </c>
      <c r="W146" s="4"/>
      <c r="X146" s="4"/>
      <c r="Y146" s="4"/>
    </row>
    <row r="147" spans="1:25" customFormat="1" ht="13.15">
      <c r="A147" s="22" t="s">
        <v>575</v>
      </c>
      <c r="B147" s="5" t="s">
        <v>571</v>
      </c>
      <c r="C147" s="11" t="str">
        <f t="shared" si="4"/>
        <v>ACA - Agente Cognitivo y Soporte Migración - Ret</v>
      </c>
      <c r="D147" s="4" t="s">
        <v>572</v>
      </c>
      <c r="E147" s="4" t="s">
        <v>60</v>
      </c>
      <c r="F147" s="4" t="s">
        <v>69</v>
      </c>
      <c r="G147" s="5" t="s">
        <v>61</v>
      </c>
      <c r="H147" s="11" t="str">
        <f>_xlfn.IFNA(VLOOKUP(F147,clientes!A:B,2,FALSE()),"--")</f>
        <v>Alcaldia de Cali</v>
      </c>
      <c r="I147" s="5" t="s">
        <v>71</v>
      </c>
      <c r="J147" s="12" t="s">
        <v>72</v>
      </c>
      <c r="K147" s="19" t="s">
        <v>573</v>
      </c>
      <c r="L147" s="10" t="s">
        <v>73</v>
      </c>
      <c r="M147" s="10" t="s">
        <v>74</v>
      </c>
      <c r="N147" s="10" t="s">
        <v>136</v>
      </c>
      <c r="O147" s="4" t="s">
        <v>137</v>
      </c>
      <c r="P147" s="11" t="s">
        <v>77</v>
      </c>
      <c r="Q147" s="11"/>
      <c r="R147" s="22"/>
      <c r="S147" s="4"/>
      <c r="U147" s="64" t="s">
        <v>1575</v>
      </c>
      <c r="W147" s="4"/>
      <c r="X147" s="4"/>
      <c r="Y147" s="4"/>
    </row>
    <row r="148" spans="1:25" customFormat="1" ht="13.15">
      <c r="A148" s="22" t="s">
        <v>576</v>
      </c>
      <c r="B148" s="5" t="s">
        <v>571</v>
      </c>
      <c r="C148" s="11" t="str">
        <f t="shared" si="4"/>
        <v>ACA - Agente Cognitivo y Soporte Migración - Ret Other Vendors</v>
      </c>
      <c r="D148" s="4" t="s">
        <v>572</v>
      </c>
      <c r="E148" s="5" t="s">
        <v>347</v>
      </c>
      <c r="F148" s="4" t="s">
        <v>69</v>
      </c>
      <c r="G148" s="5" t="s">
        <v>61</v>
      </c>
      <c r="H148" s="11" t="str">
        <f>_xlfn.IFNA(VLOOKUP(F148,clientes!A:B,2,FALSE()),"--")</f>
        <v>Alcaldia de Cali</v>
      </c>
      <c r="I148" s="5" t="s">
        <v>71</v>
      </c>
      <c r="J148" s="12" t="s">
        <v>72</v>
      </c>
      <c r="K148" s="19" t="s">
        <v>573</v>
      </c>
      <c r="L148" s="10" t="s">
        <v>73</v>
      </c>
      <c r="M148" s="10" t="s">
        <v>74</v>
      </c>
      <c r="N148" s="10" t="s">
        <v>75</v>
      </c>
      <c r="O148" s="4" t="s">
        <v>569</v>
      </c>
      <c r="P148" s="11" t="s">
        <v>77</v>
      </c>
      <c r="Q148" s="11"/>
      <c r="R148" s="22"/>
      <c r="S148" s="4"/>
      <c r="U148" s="65" t="s">
        <v>1576</v>
      </c>
      <c r="W148" s="4"/>
      <c r="X148" s="4"/>
      <c r="Y148" s="4"/>
    </row>
    <row r="149" spans="1:25" customFormat="1" ht="13.15">
      <c r="A149" s="22" t="s">
        <v>577</v>
      </c>
      <c r="B149" s="5" t="s">
        <v>571</v>
      </c>
      <c r="C149" s="11" t="str">
        <f t="shared" si="4"/>
        <v>ACA - Agente Cognitivo y Soporte Migración - Ret SW</v>
      </c>
      <c r="D149" s="4" t="s">
        <v>572</v>
      </c>
      <c r="E149" s="4" t="s">
        <v>48</v>
      </c>
      <c r="F149" s="4" t="s">
        <v>69</v>
      </c>
      <c r="G149" s="5" t="s">
        <v>50</v>
      </c>
      <c r="H149" s="11" t="str">
        <f>_xlfn.IFNA(VLOOKUP(F149,clientes!A:B,2,FALSE()),"--")</f>
        <v>Alcaldia de Cali</v>
      </c>
      <c r="I149" s="5" t="s">
        <v>71</v>
      </c>
      <c r="J149" s="12" t="s">
        <v>72</v>
      </c>
      <c r="K149" s="19" t="s">
        <v>573</v>
      </c>
      <c r="L149" s="10" t="s">
        <v>73</v>
      </c>
      <c r="M149" s="10" t="s">
        <v>74</v>
      </c>
      <c r="N149" s="10" t="s">
        <v>75</v>
      </c>
      <c r="O149" s="4" t="s">
        <v>569</v>
      </c>
      <c r="P149" s="11" t="s">
        <v>77</v>
      </c>
      <c r="Q149" s="11"/>
      <c r="R149" s="22"/>
      <c r="S149" s="4"/>
      <c r="U149" s="64" t="s">
        <v>1577</v>
      </c>
      <c r="W149" s="4"/>
      <c r="X149" s="4"/>
      <c r="Y149" s="4"/>
    </row>
    <row r="150" spans="1:25" customFormat="1" ht="26.45">
      <c r="A150" s="22" t="s">
        <v>578</v>
      </c>
      <c r="B150" s="5" t="s">
        <v>562</v>
      </c>
      <c r="C150" s="11" t="str">
        <f t="shared" si="4"/>
        <v>ICF - Evolución Datalake Fase 2 2025 - Fixed</v>
      </c>
      <c r="D150" s="4" t="s">
        <v>563</v>
      </c>
      <c r="E150" s="4" t="s">
        <v>80</v>
      </c>
      <c r="F150" s="4" t="s">
        <v>253</v>
      </c>
      <c r="G150" s="5" t="s">
        <v>81</v>
      </c>
      <c r="H150" s="11" t="str">
        <f>_xlfn.IFNA(VLOOKUP(F150,clientes!A:B,2,FALSE()),"--")</f>
        <v>Instituto Colombiano Para La Evaluacion De La Educacion ICFES</v>
      </c>
      <c r="I150" s="5" t="s">
        <v>33</v>
      </c>
      <c r="J150" s="12" t="s">
        <v>254</v>
      </c>
      <c r="K150" s="19" t="s">
        <v>564</v>
      </c>
      <c r="L150" s="10" t="s">
        <v>134</v>
      </c>
      <c r="M150" s="10" t="s">
        <v>135</v>
      </c>
      <c r="N150" s="10" t="s">
        <v>201</v>
      </c>
      <c r="O150" s="4" t="s">
        <v>256</v>
      </c>
      <c r="P150" s="11" t="s">
        <v>35</v>
      </c>
      <c r="Q150" s="11" t="s">
        <v>36</v>
      </c>
      <c r="R150" s="22"/>
      <c r="S150" s="4"/>
      <c r="U150" s="65"/>
      <c r="W150" s="4"/>
      <c r="X150" s="4"/>
      <c r="Y150" s="4"/>
    </row>
    <row r="151" spans="1:25" customFormat="1" ht="26.45">
      <c r="A151" s="22" t="s">
        <v>579</v>
      </c>
      <c r="B151" s="5" t="s">
        <v>562</v>
      </c>
      <c r="C151" s="11" t="str">
        <f t="shared" si="4"/>
        <v>ICF - Evolución Datalake Fase 2 2025 - Ret</v>
      </c>
      <c r="D151" s="4" t="s">
        <v>563</v>
      </c>
      <c r="E151" s="4" t="s">
        <v>60</v>
      </c>
      <c r="F151" s="4" t="s">
        <v>253</v>
      </c>
      <c r="G151" s="5" t="s">
        <v>61</v>
      </c>
      <c r="H151" s="11" t="str">
        <f>_xlfn.IFNA(VLOOKUP(F151,clientes!A:B,2,FALSE()),"--")</f>
        <v>Instituto Colombiano Para La Evaluacion De La Educacion ICFES</v>
      </c>
      <c r="I151" s="5" t="s">
        <v>33</v>
      </c>
      <c r="J151" s="12" t="s">
        <v>254</v>
      </c>
      <c r="K151" s="19" t="s">
        <v>564</v>
      </c>
      <c r="L151" s="10" t="s">
        <v>134</v>
      </c>
      <c r="M151" s="10" t="s">
        <v>135</v>
      </c>
      <c r="N151" s="10" t="s">
        <v>201</v>
      </c>
      <c r="O151" s="4" t="s">
        <v>256</v>
      </c>
      <c r="P151" s="11" t="s">
        <v>35</v>
      </c>
      <c r="Q151" s="11" t="s">
        <v>36</v>
      </c>
      <c r="R151" s="22"/>
      <c r="S151" s="4"/>
      <c r="U151" s="64"/>
      <c r="W151" s="4"/>
      <c r="X151" s="4"/>
      <c r="Y151" s="4"/>
    </row>
    <row r="152" spans="1:25" customFormat="1" ht="26.45">
      <c r="A152" s="22" t="s">
        <v>580</v>
      </c>
      <c r="B152" s="5" t="s">
        <v>562</v>
      </c>
      <c r="C152" s="11" t="str">
        <f t="shared" si="4"/>
        <v>ICF - Evolución Datalake Fase 2 2025 - Ret SW</v>
      </c>
      <c r="D152" s="4" t="s">
        <v>563</v>
      </c>
      <c r="E152" s="4" t="s">
        <v>48</v>
      </c>
      <c r="F152" s="4" t="s">
        <v>253</v>
      </c>
      <c r="G152" s="5" t="s">
        <v>50</v>
      </c>
      <c r="H152" s="11" t="str">
        <f>_xlfn.IFNA(VLOOKUP(F152,clientes!A:B,2,FALSE()),"--")</f>
        <v>Instituto Colombiano Para La Evaluacion De La Educacion ICFES</v>
      </c>
      <c r="I152" s="5" t="s">
        <v>33</v>
      </c>
      <c r="J152" s="12" t="s">
        <v>254</v>
      </c>
      <c r="K152" s="19" t="s">
        <v>564</v>
      </c>
      <c r="L152" s="10" t="s">
        <v>134</v>
      </c>
      <c r="M152" s="10" t="s">
        <v>135</v>
      </c>
      <c r="N152" s="10" t="s">
        <v>201</v>
      </c>
      <c r="O152" s="4" t="s">
        <v>256</v>
      </c>
      <c r="P152" s="11" t="s">
        <v>35</v>
      </c>
      <c r="Q152" s="11" t="s">
        <v>36</v>
      </c>
      <c r="R152" s="22"/>
      <c r="S152" s="4"/>
      <c r="U152" s="65"/>
      <c r="W152" s="4"/>
      <c r="X152" s="4"/>
      <c r="Y152" s="4"/>
    </row>
    <row r="153" spans="1:25" customFormat="1" ht="26.45">
      <c r="A153" s="22" t="s">
        <v>581</v>
      </c>
      <c r="B153" s="5" t="s">
        <v>562</v>
      </c>
      <c r="C153" s="11" t="s">
        <v>582</v>
      </c>
      <c r="D153" s="4" t="s">
        <v>563</v>
      </c>
      <c r="E153" s="5" t="s">
        <v>347</v>
      </c>
      <c r="F153" s="4" t="s">
        <v>253</v>
      </c>
      <c r="G153" s="5" t="s">
        <v>61</v>
      </c>
      <c r="H153" s="11" t="str">
        <f>_xlfn.IFNA(VLOOKUP(F153,clientes!A:B,2,FALSE()),"--")</f>
        <v>Instituto Colombiano Para La Evaluacion De La Educacion ICFES</v>
      </c>
      <c r="I153" s="5" t="s">
        <v>33</v>
      </c>
      <c r="J153" s="4" t="s">
        <v>254</v>
      </c>
      <c r="K153" s="19" t="s">
        <v>564</v>
      </c>
      <c r="L153" s="10" t="s">
        <v>134</v>
      </c>
      <c r="M153" s="10" t="s">
        <v>135</v>
      </c>
      <c r="N153" s="10" t="s">
        <v>201</v>
      </c>
      <c r="O153" s="4" t="s">
        <v>256</v>
      </c>
      <c r="P153" s="11" t="s">
        <v>35</v>
      </c>
      <c r="Q153" s="11" t="s">
        <v>36</v>
      </c>
      <c r="R153" s="22"/>
      <c r="S153" s="4"/>
      <c r="U153" s="64"/>
      <c r="W153" s="4"/>
      <c r="X153" s="4"/>
      <c r="Y153" s="4"/>
    </row>
    <row r="154" spans="1:25" customFormat="1" ht="26.45">
      <c r="A154" s="22" t="s">
        <v>583</v>
      </c>
      <c r="B154" s="5" t="s">
        <v>584</v>
      </c>
      <c r="C154" s="11" t="str">
        <f t="shared" ref="C154:C160" si="5">F154&amp;" - "&amp;D154&amp;" - "&amp;E154</f>
        <v>ICF - Migración OCI 2025 - Cloud</v>
      </c>
      <c r="D154" s="4" t="s">
        <v>585</v>
      </c>
      <c r="E154" s="5" t="s">
        <v>68</v>
      </c>
      <c r="F154" s="4" t="s">
        <v>253</v>
      </c>
      <c r="G154" s="4" t="s">
        <v>70</v>
      </c>
      <c r="H154" s="11" t="str">
        <f>_xlfn.IFNA(VLOOKUP(F154,clientes!A:B,2,FALSE()),"--")</f>
        <v>Instituto Colombiano Para La Evaluacion De La Educacion ICFES</v>
      </c>
      <c r="I154" s="5" t="s">
        <v>33</v>
      </c>
      <c r="J154" s="12" t="s">
        <v>254</v>
      </c>
      <c r="K154" s="27" t="s">
        <v>586</v>
      </c>
      <c r="L154" s="10" t="s">
        <v>134</v>
      </c>
      <c r="M154" s="10" t="s">
        <v>135</v>
      </c>
      <c r="N154" s="10" t="s">
        <v>136</v>
      </c>
      <c r="O154" s="4" t="s">
        <v>137</v>
      </c>
      <c r="P154" s="11" t="s">
        <v>35</v>
      </c>
      <c r="Q154" s="11" t="s">
        <v>36</v>
      </c>
      <c r="R154" s="22"/>
      <c r="S154" s="4"/>
      <c r="U154" s="65"/>
      <c r="W154" s="4"/>
      <c r="X154" s="4"/>
      <c r="Y154" s="4"/>
    </row>
    <row r="155" spans="1:25" customFormat="1" ht="26.45">
      <c r="A155" s="22" t="s">
        <v>587</v>
      </c>
      <c r="B155" s="5" t="s">
        <v>584</v>
      </c>
      <c r="C155" s="11" t="str">
        <f t="shared" si="5"/>
        <v>ICF - Migración OCI 2025 - Fixed</v>
      </c>
      <c r="D155" s="4" t="s">
        <v>585</v>
      </c>
      <c r="E155" s="4" t="s">
        <v>80</v>
      </c>
      <c r="F155" s="4" t="s">
        <v>253</v>
      </c>
      <c r="G155" s="5" t="s">
        <v>81</v>
      </c>
      <c r="H155" s="11" t="str">
        <f>_xlfn.IFNA(VLOOKUP(F155,clientes!A:B,2,FALSE()),"--")</f>
        <v>Instituto Colombiano Para La Evaluacion De La Educacion ICFES</v>
      </c>
      <c r="I155" s="5" t="s">
        <v>33</v>
      </c>
      <c r="J155" s="12" t="s">
        <v>254</v>
      </c>
      <c r="K155" s="27" t="s">
        <v>586</v>
      </c>
      <c r="L155" s="10" t="s">
        <v>134</v>
      </c>
      <c r="M155" s="10" t="s">
        <v>135</v>
      </c>
      <c r="N155" s="10" t="s">
        <v>136</v>
      </c>
      <c r="O155" s="4" t="s">
        <v>137</v>
      </c>
      <c r="P155" s="11" t="s">
        <v>35</v>
      </c>
      <c r="Q155" s="11" t="s">
        <v>36</v>
      </c>
      <c r="R155" s="22"/>
      <c r="S155" s="4"/>
      <c r="U155" s="64"/>
      <c r="W155" s="4"/>
      <c r="X155" s="4"/>
      <c r="Y155" s="4"/>
    </row>
    <row r="156" spans="1:25" customFormat="1" ht="13.15">
      <c r="A156" s="22" t="s">
        <v>588</v>
      </c>
      <c r="B156" s="5" t="s">
        <v>589</v>
      </c>
      <c r="C156" s="11" t="str">
        <f t="shared" si="5"/>
        <v>PRO - SmartCash - Operación - Ret</v>
      </c>
      <c r="D156" s="4" t="s">
        <v>47</v>
      </c>
      <c r="E156" s="4" t="s">
        <v>60</v>
      </c>
      <c r="F156" s="4" t="s">
        <v>590</v>
      </c>
      <c r="G156" s="5" t="s">
        <v>61</v>
      </c>
      <c r="H156" s="11" t="s">
        <v>591</v>
      </c>
      <c r="I156" s="5" t="s">
        <v>33</v>
      </c>
      <c r="J156" s="12" t="s">
        <v>592</v>
      </c>
      <c r="K156" s="27" t="s">
        <v>593</v>
      </c>
      <c r="L156" s="10" t="s">
        <v>53</v>
      </c>
      <c r="M156" s="10" t="s">
        <v>157</v>
      </c>
      <c r="N156" s="10" t="s">
        <v>75</v>
      </c>
      <c r="O156" s="4" t="s">
        <v>107</v>
      </c>
      <c r="P156" s="11" t="s">
        <v>35</v>
      </c>
      <c r="Q156" s="11"/>
      <c r="R156" s="22"/>
      <c r="S156" s="4"/>
      <c r="U156" s="65"/>
      <c r="W156" s="4"/>
      <c r="X156" s="4"/>
      <c r="Y156" s="4"/>
    </row>
    <row r="157" spans="1:25" customFormat="1" ht="13.15">
      <c r="A157" s="22" t="s">
        <v>596</v>
      </c>
      <c r="B157" s="5" t="s">
        <v>589</v>
      </c>
      <c r="C157" s="11" t="str">
        <f t="shared" si="5"/>
        <v>PRO - SmartCash - Operación - Cloud</v>
      </c>
      <c r="D157" s="4" t="s">
        <v>47</v>
      </c>
      <c r="E157" s="5" t="s">
        <v>68</v>
      </c>
      <c r="F157" s="4" t="s">
        <v>590</v>
      </c>
      <c r="G157" s="4" t="s">
        <v>70</v>
      </c>
      <c r="H157" s="11" t="s">
        <v>591</v>
      </c>
      <c r="I157" s="5" t="s">
        <v>33</v>
      </c>
      <c r="J157" s="12" t="s">
        <v>592</v>
      </c>
      <c r="K157" s="27" t="s">
        <v>593</v>
      </c>
      <c r="L157" s="10" t="s">
        <v>53</v>
      </c>
      <c r="M157" s="10" t="s">
        <v>157</v>
      </c>
      <c r="N157" s="10" t="s">
        <v>75</v>
      </c>
      <c r="O157" s="4" t="s">
        <v>107</v>
      </c>
      <c r="P157" s="11" t="s">
        <v>35</v>
      </c>
      <c r="Q157" s="11"/>
      <c r="R157" s="22"/>
      <c r="S157" s="4"/>
      <c r="U157" s="64"/>
      <c r="W157" s="4"/>
      <c r="X157" s="4"/>
      <c r="Y157" s="4"/>
    </row>
    <row r="158" spans="1:25" customFormat="1" ht="13.15">
      <c r="A158" s="22" t="s">
        <v>597</v>
      </c>
      <c r="B158" s="5" t="s">
        <v>598</v>
      </c>
      <c r="C158" s="11" t="str">
        <f t="shared" si="5"/>
        <v>CSJ - Digitalización archivo físico Fase II - Fixed</v>
      </c>
      <c r="D158" s="4" t="s">
        <v>599</v>
      </c>
      <c r="E158" s="4" t="s">
        <v>80</v>
      </c>
      <c r="F158" s="4" t="s">
        <v>184</v>
      </c>
      <c r="G158" s="5" t="s">
        <v>81</v>
      </c>
      <c r="H158" s="11" t="str">
        <f>_xlfn.IFNA(VLOOKUP(F158,clientes!A:B,2,FALSE()),"--")</f>
        <v>Consejo Superior de la Judicatura</v>
      </c>
      <c r="I158" s="5" t="s">
        <v>33</v>
      </c>
      <c r="J158" s="12" t="s">
        <v>185</v>
      </c>
      <c r="K158" s="4"/>
      <c r="L158" s="10" t="s">
        <v>124</v>
      </c>
      <c r="M158" s="10" t="s">
        <v>135</v>
      </c>
      <c r="N158" s="10" t="s">
        <v>201</v>
      </c>
      <c r="O158" s="4" t="s">
        <v>444</v>
      </c>
      <c r="P158" s="11" t="s">
        <v>35</v>
      </c>
      <c r="Q158" s="11"/>
      <c r="R158" s="22"/>
      <c r="S158" s="4"/>
      <c r="U158" s="65"/>
      <c r="W158" s="4"/>
      <c r="X158" s="4"/>
      <c r="Y158" s="4"/>
    </row>
    <row r="159" spans="1:25" customFormat="1" ht="13.15">
      <c r="A159" s="22" t="s">
        <v>600</v>
      </c>
      <c r="B159" s="5" t="s">
        <v>598</v>
      </c>
      <c r="C159" s="11" t="str">
        <f t="shared" si="5"/>
        <v>CSJ - Digitalización archivo físico Fase II - Ret</v>
      </c>
      <c r="D159" s="4" t="s">
        <v>599</v>
      </c>
      <c r="E159" s="4" t="s">
        <v>60</v>
      </c>
      <c r="F159" s="4" t="s">
        <v>184</v>
      </c>
      <c r="G159" s="5" t="s">
        <v>61</v>
      </c>
      <c r="H159" s="11" t="str">
        <f>_xlfn.IFNA(VLOOKUP(F159,clientes!A:B,2,FALSE()),"--")</f>
        <v>Consejo Superior de la Judicatura</v>
      </c>
      <c r="I159" s="5" t="s">
        <v>33</v>
      </c>
      <c r="J159" s="12" t="s">
        <v>185</v>
      </c>
      <c r="K159" s="4"/>
      <c r="L159" s="10" t="s">
        <v>124</v>
      </c>
      <c r="M159" s="10" t="s">
        <v>135</v>
      </c>
      <c r="N159" s="10" t="s">
        <v>201</v>
      </c>
      <c r="O159" s="4" t="s">
        <v>444</v>
      </c>
      <c r="P159" s="11" t="s">
        <v>35</v>
      </c>
      <c r="Q159" s="11"/>
      <c r="R159" s="22"/>
      <c r="S159" s="4"/>
      <c r="U159" s="64"/>
      <c r="W159" s="4"/>
      <c r="X159" s="4"/>
      <c r="Y159" s="4"/>
    </row>
    <row r="160" spans="1:25" customFormat="1" ht="13.15">
      <c r="A160" s="22" t="s">
        <v>601</v>
      </c>
      <c r="B160" s="5" t="s">
        <v>598</v>
      </c>
      <c r="C160" s="11" t="str">
        <f t="shared" si="5"/>
        <v>CSJ - Digitalización archivo físico Fase II - Cloud</v>
      </c>
      <c r="D160" s="4" t="s">
        <v>599</v>
      </c>
      <c r="E160" s="5" t="s">
        <v>68</v>
      </c>
      <c r="F160" s="4" t="s">
        <v>184</v>
      </c>
      <c r="G160" s="4" t="s">
        <v>70</v>
      </c>
      <c r="H160" s="11" t="str">
        <f>_xlfn.IFNA(VLOOKUP(F160,clientes!A:B,2,FALSE()),"--")</f>
        <v>Consejo Superior de la Judicatura</v>
      </c>
      <c r="I160" s="5" t="s">
        <v>33</v>
      </c>
      <c r="J160" s="12" t="s">
        <v>185</v>
      </c>
      <c r="K160" s="4"/>
      <c r="L160" s="10" t="s">
        <v>124</v>
      </c>
      <c r="M160" s="10" t="s">
        <v>135</v>
      </c>
      <c r="N160" s="10" t="s">
        <v>201</v>
      </c>
      <c r="O160" s="4" t="s">
        <v>444</v>
      </c>
      <c r="P160" s="11" t="s">
        <v>35</v>
      </c>
      <c r="Q160" s="11"/>
      <c r="R160" s="22"/>
      <c r="S160" s="4"/>
      <c r="U160" s="65"/>
      <c r="W160" s="4"/>
      <c r="X160" s="4"/>
      <c r="Y160" s="4"/>
    </row>
    <row r="161" spans="1:25" customFormat="1" ht="39.6">
      <c r="A161" s="22" t="s">
        <v>602</v>
      </c>
      <c r="B161" s="4" t="s">
        <v>603</v>
      </c>
      <c r="C161" s="11" t="s">
        <v>604</v>
      </c>
      <c r="D161" s="4" t="s">
        <v>605</v>
      </c>
      <c r="E161" s="4" t="s">
        <v>80</v>
      </c>
      <c r="F161" s="5" t="s">
        <v>606</v>
      </c>
      <c r="G161" s="5" t="s">
        <v>81</v>
      </c>
      <c r="H161" s="11" t="str">
        <f>_xlfn.IFNA(VLOOKUP(F161,clientes!A:B,2,FALSE()),"--")</f>
        <v>La Administradora de los Recursos del Sistema General de Seguridad Social en Salud</v>
      </c>
      <c r="I161" s="5" t="s">
        <v>71</v>
      </c>
      <c r="J161" s="4" t="s">
        <v>607</v>
      </c>
      <c r="K161" s="19" t="s">
        <v>608</v>
      </c>
      <c r="L161" s="10" t="s">
        <v>282</v>
      </c>
      <c r="M161" s="10" t="s">
        <v>135</v>
      </c>
      <c r="N161" s="10" t="s">
        <v>75</v>
      </c>
      <c r="O161" s="4"/>
      <c r="P161" s="11" t="s">
        <v>77</v>
      </c>
      <c r="Q161" s="4" t="s">
        <v>609</v>
      </c>
      <c r="R161" s="22">
        <v>68998</v>
      </c>
      <c r="S161" s="4"/>
      <c r="U161" s="64" t="s">
        <v>1578</v>
      </c>
      <c r="W161" s="4"/>
      <c r="X161" s="4"/>
      <c r="Y161" s="4"/>
    </row>
    <row r="162" spans="1:25" customFormat="1" ht="39.6">
      <c r="A162" s="22" t="s">
        <v>610</v>
      </c>
      <c r="B162" s="4" t="s">
        <v>603</v>
      </c>
      <c r="C162" s="11" t="s">
        <v>611</v>
      </c>
      <c r="D162" s="4" t="s">
        <v>605</v>
      </c>
      <c r="E162" s="5" t="s">
        <v>68</v>
      </c>
      <c r="F162" s="5" t="s">
        <v>606</v>
      </c>
      <c r="G162" s="4" t="s">
        <v>70</v>
      </c>
      <c r="H162" s="11" t="str">
        <f>_xlfn.IFNA(VLOOKUP(F162,clientes!A:B,2,FALSE()),"--")</f>
        <v>La Administradora de los Recursos del Sistema General de Seguridad Social en Salud</v>
      </c>
      <c r="I162" s="5" t="s">
        <v>71</v>
      </c>
      <c r="J162" s="4" t="s">
        <v>607</v>
      </c>
      <c r="K162" s="19" t="s">
        <v>608</v>
      </c>
      <c r="L162" s="10" t="s">
        <v>282</v>
      </c>
      <c r="M162" s="10" t="s">
        <v>135</v>
      </c>
      <c r="N162" s="10" t="s">
        <v>75</v>
      </c>
      <c r="O162" s="4"/>
      <c r="P162" s="11" t="s">
        <v>77</v>
      </c>
      <c r="Q162" s="4" t="s">
        <v>609</v>
      </c>
      <c r="R162" s="22">
        <v>68999</v>
      </c>
      <c r="S162" s="4"/>
      <c r="U162" s="65" t="s">
        <v>1579</v>
      </c>
      <c r="W162" s="4"/>
      <c r="X162" s="4"/>
      <c r="Y162" s="4"/>
    </row>
    <row r="163" spans="1:25" customFormat="1" ht="13.15">
      <c r="A163" s="22" t="s">
        <v>612</v>
      </c>
      <c r="B163" s="5" t="s">
        <v>598</v>
      </c>
      <c r="C163" s="11" t="str">
        <f>F163&amp;" - "&amp;D163&amp;" - "&amp;E163</f>
        <v>CSJ - Digitalización archivo físico Fase II - Ret SW</v>
      </c>
      <c r="D163" s="4" t="s">
        <v>599</v>
      </c>
      <c r="E163" s="4" t="s">
        <v>48</v>
      </c>
      <c r="F163" s="4" t="s">
        <v>184</v>
      </c>
      <c r="G163" s="5" t="s">
        <v>50</v>
      </c>
      <c r="H163" s="11" t="str">
        <f>_xlfn.IFNA(VLOOKUP(F163,clientes!A:B,2,FALSE()),"--")</f>
        <v>Consejo Superior de la Judicatura</v>
      </c>
      <c r="I163" s="5" t="s">
        <v>33</v>
      </c>
      <c r="J163" s="12" t="s">
        <v>185</v>
      </c>
      <c r="K163" s="4"/>
      <c r="L163" s="10" t="s">
        <v>124</v>
      </c>
      <c r="M163" s="10" t="s">
        <v>135</v>
      </c>
      <c r="N163" s="10" t="s">
        <v>201</v>
      </c>
      <c r="O163" s="4" t="s">
        <v>444</v>
      </c>
      <c r="P163" s="11" t="s">
        <v>35</v>
      </c>
      <c r="Q163" s="11"/>
      <c r="R163" s="22"/>
      <c r="S163" s="4"/>
      <c r="U163" s="64"/>
      <c r="W163" s="4"/>
      <c r="X163" s="4"/>
      <c r="Y163" s="4"/>
    </row>
    <row r="164" spans="1:25" customFormat="1" ht="39.6">
      <c r="A164" s="22" t="s">
        <v>613</v>
      </c>
      <c r="B164" s="4" t="s">
        <v>603</v>
      </c>
      <c r="C164" s="11" t="s">
        <v>614</v>
      </c>
      <c r="D164" s="4" t="s">
        <v>605</v>
      </c>
      <c r="E164" s="5" t="s">
        <v>347</v>
      </c>
      <c r="F164" s="5" t="s">
        <v>606</v>
      </c>
      <c r="G164" s="5" t="s">
        <v>61</v>
      </c>
      <c r="H164" s="11" t="str">
        <f>_xlfn.IFNA(VLOOKUP(F164,clientes!A:B,2,FALSE()),"--")</f>
        <v>La Administradora de los Recursos del Sistema General de Seguridad Social en Salud</v>
      </c>
      <c r="I164" s="5" t="s">
        <v>71</v>
      </c>
      <c r="J164" s="4" t="s">
        <v>607</v>
      </c>
      <c r="K164" s="19" t="s">
        <v>608</v>
      </c>
      <c r="L164" s="10" t="s">
        <v>282</v>
      </c>
      <c r="M164" s="10" t="s">
        <v>135</v>
      </c>
      <c r="N164" s="10" t="s">
        <v>75</v>
      </c>
      <c r="O164" s="4"/>
      <c r="P164" s="11" t="s">
        <v>77</v>
      </c>
      <c r="Q164" s="4" t="s">
        <v>609</v>
      </c>
      <c r="R164" s="22">
        <v>71118</v>
      </c>
      <c r="S164" s="4"/>
      <c r="U164" s="65" t="s">
        <v>1580</v>
      </c>
      <c r="W164" s="4"/>
      <c r="X164" s="4"/>
      <c r="Y164" s="4"/>
    </row>
    <row r="165" spans="1:25" customFormat="1" ht="13.15">
      <c r="A165" s="23" t="s">
        <v>615</v>
      </c>
      <c r="B165" s="5" t="s">
        <v>616</v>
      </c>
      <c r="C165" s="11" t="str">
        <f>F165&amp;" - "&amp;D165&amp;" - "&amp;E165</f>
        <v>BLD - Internal Project Delivery (Ad-Hoc) - Internal</v>
      </c>
      <c r="D165" s="5" t="s">
        <v>617</v>
      </c>
      <c r="E165" s="5" t="s">
        <v>30</v>
      </c>
      <c r="F165" s="42" t="s">
        <v>31</v>
      </c>
      <c r="G165" s="5" t="s">
        <v>32</v>
      </c>
      <c r="H165" s="11" t="str">
        <f>_xlfn.IFNA(VLOOKUP(F165,clientes!A:B,2,FALSE()),"--")</f>
        <v>Blend360</v>
      </c>
      <c r="I165" s="5" t="s">
        <v>33</v>
      </c>
      <c r="J165" s="11" t="s">
        <v>34</v>
      </c>
      <c r="K165" s="5" t="s">
        <v>34</v>
      </c>
      <c r="L165" s="4" t="s">
        <v>34</v>
      </c>
      <c r="M165" s="4" t="s">
        <v>34</v>
      </c>
      <c r="N165" s="4" t="s">
        <v>34</v>
      </c>
      <c r="O165" s="4" t="s">
        <v>34</v>
      </c>
      <c r="P165" s="11" t="s">
        <v>35</v>
      </c>
      <c r="Q165" s="11" t="s">
        <v>36</v>
      </c>
      <c r="R165" s="22"/>
      <c r="S165" s="10" t="s">
        <v>37</v>
      </c>
      <c r="U165" s="64" t="s">
        <v>1580</v>
      </c>
      <c r="W165" s="4"/>
      <c r="X165" s="4"/>
      <c r="Y165" s="4"/>
    </row>
    <row r="166" spans="1:25" customFormat="1" ht="13.15">
      <c r="A166" s="22" t="s">
        <v>618</v>
      </c>
      <c r="B166" s="5" t="s">
        <v>566</v>
      </c>
      <c r="C166" s="11" t="str">
        <f>F166&amp;" - "&amp;D166&amp;" - "&amp;E166</f>
        <v>ACA - Fase 2 Datacali - Cloud</v>
      </c>
      <c r="D166" s="4" t="s">
        <v>567</v>
      </c>
      <c r="E166" s="5" t="s">
        <v>68</v>
      </c>
      <c r="F166" s="4" t="s">
        <v>69</v>
      </c>
      <c r="G166" s="4" t="s">
        <v>70</v>
      </c>
      <c r="H166" s="11" t="str">
        <f>_xlfn.IFNA(VLOOKUP(F166,clientes!A:B,2,FALSE()),"--")</f>
        <v>Alcaldia de Cali</v>
      </c>
      <c r="I166" s="5" t="s">
        <v>71</v>
      </c>
      <c r="J166" s="12" t="s">
        <v>72</v>
      </c>
      <c r="K166" s="4" t="s">
        <v>568</v>
      </c>
      <c r="L166" s="10" t="s">
        <v>73</v>
      </c>
      <c r="M166" s="10" t="s">
        <v>74</v>
      </c>
      <c r="N166" s="10" t="s">
        <v>75</v>
      </c>
      <c r="O166" s="4" t="s">
        <v>569</v>
      </c>
      <c r="P166" s="11" t="s">
        <v>77</v>
      </c>
      <c r="Q166" s="11"/>
      <c r="R166" s="22"/>
      <c r="S166" s="4"/>
      <c r="U166" s="65" t="s">
        <v>1581</v>
      </c>
      <c r="W166" s="4"/>
      <c r="X166" s="4"/>
      <c r="Y166" s="4"/>
    </row>
    <row r="167" spans="1:25" customFormat="1" ht="13.15">
      <c r="A167" s="22" t="s">
        <v>619</v>
      </c>
      <c r="B167" s="5" t="s">
        <v>598</v>
      </c>
      <c r="C167" s="11" t="str">
        <f>F167&amp;" - "&amp;D167&amp;" - "&amp;E167</f>
        <v>CSJ - Digitalización archivo físico Fase II - Ret Other Vendors</v>
      </c>
      <c r="D167" s="4" t="s">
        <v>599</v>
      </c>
      <c r="E167" s="5" t="s">
        <v>347</v>
      </c>
      <c r="F167" s="4" t="s">
        <v>184</v>
      </c>
      <c r="G167" s="5" t="s">
        <v>61</v>
      </c>
      <c r="H167" s="11" t="str">
        <f>_xlfn.IFNA(VLOOKUP(F167,clientes!A:B,2,FALSE()),"--")</f>
        <v>Consejo Superior de la Judicatura</v>
      </c>
      <c r="I167" s="5" t="s">
        <v>33</v>
      </c>
      <c r="J167" s="12" t="s">
        <v>185</v>
      </c>
      <c r="K167" s="4"/>
      <c r="L167" s="10" t="s">
        <v>124</v>
      </c>
      <c r="M167" s="10" t="s">
        <v>135</v>
      </c>
      <c r="N167" s="10" t="s">
        <v>201</v>
      </c>
      <c r="O167" s="4" t="s">
        <v>444</v>
      </c>
      <c r="P167" s="11" t="s">
        <v>35</v>
      </c>
      <c r="Q167" s="11"/>
      <c r="R167" s="22"/>
      <c r="S167" s="4"/>
      <c r="U167" s="64"/>
      <c r="W167" s="4"/>
      <c r="X167" s="4"/>
      <c r="Y167" s="4"/>
    </row>
    <row r="168" spans="1:25" customFormat="1" ht="39.6" customHeight="1">
      <c r="A168" s="22" t="s">
        <v>620</v>
      </c>
      <c r="B168" s="4" t="s">
        <v>621</v>
      </c>
      <c r="C168" s="11" t="s">
        <v>622</v>
      </c>
      <c r="D168" s="60" t="s">
        <v>623</v>
      </c>
      <c r="E168" s="4" t="s">
        <v>80</v>
      </c>
      <c r="F168" s="5" t="s">
        <v>624</v>
      </c>
      <c r="G168" s="5" t="s">
        <v>81</v>
      </c>
      <c r="H168" s="11" t="s">
        <v>625</v>
      </c>
      <c r="I168" s="5" t="s">
        <v>33</v>
      </c>
      <c r="J168" s="4" t="s">
        <v>626</v>
      </c>
      <c r="K168" s="5" t="s">
        <v>34</v>
      </c>
      <c r="L168" s="4" t="s">
        <v>34</v>
      </c>
      <c r="M168" s="10" t="s">
        <v>135</v>
      </c>
      <c r="N168" s="10" t="s">
        <v>201</v>
      </c>
      <c r="O168" s="4" t="s">
        <v>444</v>
      </c>
      <c r="P168" s="11" t="s">
        <v>35</v>
      </c>
      <c r="Q168" s="4" t="s">
        <v>609</v>
      </c>
      <c r="R168" s="22">
        <v>74567</v>
      </c>
      <c r="S168" s="4"/>
      <c r="T168" s="4"/>
      <c r="U168" s="65"/>
      <c r="V168" s="4"/>
      <c r="W168" s="4"/>
      <c r="X168" s="4"/>
      <c r="Y168" s="62"/>
    </row>
    <row r="169" spans="1:25" customFormat="1" ht="39.6" customHeight="1">
      <c r="A169" s="22" t="s">
        <v>627</v>
      </c>
      <c r="B169" s="4" t="s">
        <v>621</v>
      </c>
      <c r="C169" s="11" t="s">
        <v>628</v>
      </c>
      <c r="D169" s="60" t="s">
        <v>623</v>
      </c>
      <c r="E169" s="4" t="s">
        <v>60</v>
      </c>
      <c r="F169" s="5" t="s">
        <v>624</v>
      </c>
      <c r="G169" s="5" t="s">
        <v>61</v>
      </c>
      <c r="H169" s="11" t="s">
        <v>625</v>
      </c>
      <c r="I169" s="5" t="s">
        <v>33</v>
      </c>
      <c r="J169" s="4" t="s">
        <v>626</v>
      </c>
      <c r="K169" s="5" t="s">
        <v>34</v>
      </c>
      <c r="L169" s="4" t="s">
        <v>34</v>
      </c>
      <c r="M169" s="10" t="s">
        <v>135</v>
      </c>
      <c r="N169" s="10" t="s">
        <v>201</v>
      </c>
      <c r="O169" s="4" t="s">
        <v>444</v>
      </c>
      <c r="P169" s="11" t="s">
        <v>35</v>
      </c>
      <c r="Q169" s="4" t="s">
        <v>609</v>
      </c>
      <c r="R169" s="22">
        <v>74568</v>
      </c>
      <c r="S169" s="4"/>
      <c r="T169" s="4"/>
      <c r="U169" s="64"/>
      <c r="V169" s="4"/>
      <c r="W169" s="4"/>
      <c r="X169" s="4"/>
      <c r="Y169" s="4"/>
    </row>
    <row r="170" spans="1:25" customFormat="1" ht="13.15">
      <c r="A170" s="22" t="s">
        <v>629</v>
      </c>
      <c r="B170" s="4" t="s">
        <v>630</v>
      </c>
      <c r="C170" s="11" t="s">
        <v>631</v>
      </c>
      <c r="D170" s="4" t="s">
        <v>632</v>
      </c>
      <c r="E170" s="4" t="s">
        <v>80</v>
      </c>
      <c r="F170" s="4" t="s">
        <v>192</v>
      </c>
      <c r="G170" s="5" t="s">
        <v>81</v>
      </c>
      <c r="H170" s="11" t="str">
        <f>_xlfn.IFNA(VLOOKUP(F170,clientes!A:B,2,FALSE()),"--")</f>
        <v>Universidad Nacional de Colombia</v>
      </c>
      <c r="I170" s="5" t="s">
        <v>33</v>
      </c>
      <c r="J170" s="4"/>
      <c r="K170" s="19" t="s">
        <v>194</v>
      </c>
      <c r="L170" s="4" t="s">
        <v>53</v>
      </c>
      <c r="M170" s="4" t="s">
        <v>213</v>
      </c>
      <c r="N170" s="10" t="s">
        <v>136</v>
      </c>
      <c r="O170" s="4" t="s">
        <v>137</v>
      </c>
      <c r="P170" s="11" t="s">
        <v>35</v>
      </c>
      <c r="Q170" s="4"/>
      <c r="R170" s="22">
        <v>68449</v>
      </c>
      <c r="S170" s="4"/>
      <c r="U170" s="65"/>
      <c r="W170" s="4"/>
      <c r="X170" s="4"/>
      <c r="Y170" s="4"/>
    </row>
    <row r="171" spans="1:25" customFormat="1" ht="13.15">
      <c r="A171" s="22" t="s">
        <v>633</v>
      </c>
      <c r="B171" s="4" t="s">
        <v>630</v>
      </c>
      <c r="C171" s="11" t="s">
        <v>634</v>
      </c>
      <c r="D171" s="4" t="s">
        <v>632</v>
      </c>
      <c r="E171" s="5" t="s">
        <v>68</v>
      </c>
      <c r="F171" s="4" t="s">
        <v>192</v>
      </c>
      <c r="G171" s="4" t="s">
        <v>70</v>
      </c>
      <c r="H171" s="11" t="str">
        <f>_xlfn.IFNA(VLOOKUP(F171,clientes!A:B,2,FALSE()),"--")</f>
        <v>Universidad Nacional de Colombia</v>
      </c>
      <c r="I171" s="5" t="s">
        <v>33</v>
      </c>
      <c r="J171" s="4"/>
      <c r="K171" s="19" t="s">
        <v>194</v>
      </c>
      <c r="L171" s="4" t="s">
        <v>53</v>
      </c>
      <c r="M171" s="4" t="s">
        <v>213</v>
      </c>
      <c r="N171" s="10" t="s">
        <v>136</v>
      </c>
      <c r="O171" s="4" t="s">
        <v>137</v>
      </c>
      <c r="P171" s="11" t="s">
        <v>35</v>
      </c>
      <c r="Q171" s="4"/>
      <c r="R171" s="22">
        <v>68452</v>
      </c>
      <c r="S171" s="4"/>
      <c r="U171" s="64"/>
      <c r="W171" s="4"/>
      <c r="X171" s="4"/>
      <c r="Y171" s="4"/>
    </row>
    <row r="172" spans="1:25" customFormat="1" ht="39.6">
      <c r="A172" s="22" t="s">
        <v>635</v>
      </c>
      <c r="B172" s="4" t="s">
        <v>636</v>
      </c>
      <c r="C172" s="11" t="str">
        <f t="shared" ref="C172:C181" si="6">F172&amp;" - "&amp;D172&amp;" - "&amp;E172</f>
        <v>SDH - Datalake Secretaria del Hábitat - Cloud</v>
      </c>
      <c r="D172" s="5" t="s">
        <v>302</v>
      </c>
      <c r="E172" s="5" t="s">
        <v>68</v>
      </c>
      <c r="F172" s="5" t="s">
        <v>303</v>
      </c>
      <c r="G172" s="4" t="s">
        <v>70</v>
      </c>
      <c r="H172" s="11" t="str">
        <f>_xlfn.IFNA(VLOOKUP(F172,clientes!A:B,2,FALSE()),"--")</f>
        <v>Secretaria Distrital del Hábitat</v>
      </c>
      <c r="I172" s="5" t="s">
        <v>33</v>
      </c>
      <c r="J172" s="6" t="s">
        <v>304</v>
      </c>
      <c r="K172" s="43" t="s">
        <v>637</v>
      </c>
      <c r="L172" s="10" t="s">
        <v>124</v>
      </c>
      <c r="M172" s="10" t="s">
        <v>95</v>
      </c>
      <c r="N172" s="10" t="s">
        <v>201</v>
      </c>
      <c r="O172" s="4" t="s">
        <v>256</v>
      </c>
      <c r="P172" s="11" t="s">
        <v>35</v>
      </c>
      <c r="Q172" s="11" t="s">
        <v>36</v>
      </c>
      <c r="R172" s="23" t="s">
        <v>306</v>
      </c>
      <c r="S172" s="10" t="s">
        <v>37</v>
      </c>
      <c r="U172" s="65"/>
      <c r="W172" s="4"/>
      <c r="X172" s="4"/>
      <c r="Y172" s="4"/>
    </row>
    <row r="173" spans="1:25" customFormat="1" ht="39.6">
      <c r="A173" s="22" t="s">
        <v>642</v>
      </c>
      <c r="B173" s="4" t="s">
        <v>636</v>
      </c>
      <c r="C173" s="11" t="str">
        <f t="shared" si="6"/>
        <v>SDH - Datalake Secretaria del Hábitat - Ret</v>
      </c>
      <c r="D173" s="5" t="s">
        <v>302</v>
      </c>
      <c r="E173" s="5" t="s">
        <v>60</v>
      </c>
      <c r="F173" s="5" t="s">
        <v>303</v>
      </c>
      <c r="G173" s="5" t="s">
        <v>61</v>
      </c>
      <c r="H173" s="11" t="str">
        <f>_xlfn.IFNA(VLOOKUP(F173,clientes!A:B,2,FALSE()),"--")</f>
        <v>Secretaria Distrital del Hábitat</v>
      </c>
      <c r="I173" s="5" t="s">
        <v>33</v>
      </c>
      <c r="J173" s="6" t="s">
        <v>304</v>
      </c>
      <c r="K173" s="43" t="s">
        <v>637</v>
      </c>
      <c r="L173" s="10" t="s">
        <v>124</v>
      </c>
      <c r="M173" s="10" t="s">
        <v>95</v>
      </c>
      <c r="N173" s="10" t="s">
        <v>201</v>
      </c>
      <c r="O173" s="4" t="s">
        <v>256</v>
      </c>
      <c r="P173" s="11" t="s">
        <v>35</v>
      </c>
      <c r="Q173" s="11" t="s">
        <v>36</v>
      </c>
      <c r="R173" s="23" t="s">
        <v>306</v>
      </c>
      <c r="S173" s="10" t="s">
        <v>64</v>
      </c>
      <c r="U173" s="64"/>
      <c r="W173" s="4"/>
      <c r="X173" s="4"/>
      <c r="Y173" s="4"/>
    </row>
    <row r="174" spans="1:25" customFormat="1" ht="39.6">
      <c r="A174" s="22" t="s">
        <v>643</v>
      </c>
      <c r="B174" s="4" t="s">
        <v>636</v>
      </c>
      <c r="C174" s="11" t="str">
        <f t="shared" si="6"/>
        <v>SDH - Datalake Secretaria del Hábitat - Ret SW</v>
      </c>
      <c r="D174" s="5" t="s">
        <v>302</v>
      </c>
      <c r="E174" s="5" t="s">
        <v>48</v>
      </c>
      <c r="F174" s="5" t="s">
        <v>303</v>
      </c>
      <c r="G174" s="5" t="s">
        <v>50</v>
      </c>
      <c r="H174" s="11" t="str">
        <f>_xlfn.IFNA(VLOOKUP(F174,clientes!A:B,2,FALSE()),"--")</f>
        <v>Secretaria Distrital del Hábitat</v>
      </c>
      <c r="I174" s="5" t="s">
        <v>33</v>
      </c>
      <c r="J174" s="6" t="s">
        <v>304</v>
      </c>
      <c r="K174" s="43" t="s">
        <v>637</v>
      </c>
      <c r="L174" s="10" t="s">
        <v>124</v>
      </c>
      <c r="M174" s="10" t="s">
        <v>95</v>
      </c>
      <c r="N174" s="10" t="s">
        <v>201</v>
      </c>
      <c r="O174" s="4" t="s">
        <v>256</v>
      </c>
      <c r="P174" s="11" t="s">
        <v>35</v>
      </c>
      <c r="Q174" s="11" t="s">
        <v>36</v>
      </c>
      <c r="R174" s="23" t="s">
        <v>306</v>
      </c>
      <c r="S174" s="10" t="s">
        <v>37</v>
      </c>
      <c r="U174" s="65"/>
      <c r="W174" s="4"/>
      <c r="X174" s="4"/>
      <c r="Y174" s="4"/>
    </row>
    <row r="175" spans="1:25" customFormat="1" ht="13.15">
      <c r="A175" s="22" t="s">
        <v>644</v>
      </c>
      <c r="B175" s="4" t="s">
        <v>645</v>
      </c>
      <c r="C175" s="11" t="str">
        <f t="shared" si="6"/>
        <v>ACA -  Virtualización infraestructura Cali  - Cloud</v>
      </c>
      <c r="D175" s="4" t="s">
        <v>646</v>
      </c>
      <c r="E175" s="5" t="s">
        <v>68</v>
      </c>
      <c r="F175" s="4" t="s">
        <v>69</v>
      </c>
      <c r="G175" s="4" t="s">
        <v>70</v>
      </c>
      <c r="H175" s="11" t="str">
        <f>_xlfn.IFNA(VLOOKUP(F175,clientes!A:B,2,FALSE()),"--")</f>
        <v>Alcaldia de Cali</v>
      </c>
      <c r="I175" s="5" t="s">
        <v>33</v>
      </c>
      <c r="J175" s="12" t="s">
        <v>72</v>
      </c>
      <c r="K175" s="48" t="s">
        <v>647</v>
      </c>
      <c r="L175" s="10" t="s">
        <v>73</v>
      </c>
      <c r="M175" s="10" t="s">
        <v>74</v>
      </c>
      <c r="N175" s="10" t="s">
        <v>136</v>
      </c>
      <c r="O175" s="4" t="s">
        <v>569</v>
      </c>
      <c r="P175" s="11" t="s">
        <v>35</v>
      </c>
      <c r="Q175" s="11"/>
      <c r="R175" s="22"/>
      <c r="S175" s="4"/>
      <c r="U175" s="64"/>
      <c r="W175" s="4"/>
      <c r="X175" s="4"/>
      <c r="Y175" s="4"/>
    </row>
    <row r="176" spans="1:25" customFormat="1" ht="13.15">
      <c r="A176" s="22" t="s">
        <v>648</v>
      </c>
      <c r="B176" s="4" t="s">
        <v>645</v>
      </c>
      <c r="C176" s="11" t="str">
        <f t="shared" si="6"/>
        <v>ACA -  Virtualización infraestructura Cali  - Ret</v>
      </c>
      <c r="D176" s="4" t="s">
        <v>646</v>
      </c>
      <c r="E176" s="4" t="s">
        <v>60</v>
      </c>
      <c r="F176" s="4" t="s">
        <v>69</v>
      </c>
      <c r="G176" s="5" t="s">
        <v>61</v>
      </c>
      <c r="H176" s="11" t="str">
        <f>_xlfn.IFNA(VLOOKUP(F176,clientes!A:B,2,FALSE()),"--")</f>
        <v>Alcaldia de Cali</v>
      </c>
      <c r="I176" s="5" t="s">
        <v>33</v>
      </c>
      <c r="J176" s="12" t="s">
        <v>72</v>
      </c>
      <c r="K176" s="48" t="s">
        <v>647</v>
      </c>
      <c r="L176" s="10" t="s">
        <v>73</v>
      </c>
      <c r="M176" s="10" t="s">
        <v>74</v>
      </c>
      <c r="N176" s="10" t="s">
        <v>136</v>
      </c>
      <c r="O176" s="4" t="s">
        <v>569</v>
      </c>
      <c r="P176" s="11" t="s">
        <v>35</v>
      </c>
      <c r="Q176" s="11"/>
      <c r="R176" s="22"/>
      <c r="S176" s="4"/>
      <c r="U176" s="65"/>
      <c r="W176" s="4"/>
      <c r="X176" s="4"/>
      <c r="Y176" s="4"/>
    </row>
    <row r="177" spans="1:25" customFormat="1" ht="13.15">
      <c r="A177" s="22" t="s">
        <v>1582</v>
      </c>
      <c r="B177" s="5" t="s">
        <v>1402</v>
      </c>
      <c r="C177" s="11" t="str">
        <f t="shared" si="6"/>
        <v>BLD - BLD - All-Start Program LATAM - Internal</v>
      </c>
      <c r="D177" s="5" t="s">
        <v>1583</v>
      </c>
      <c r="E177" s="5" t="s">
        <v>30</v>
      </c>
      <c r="F177" s="42" t="s">
        <v>31</v>
      </c>
      <c r="G177" s="5" t="s">
        <v>32</v>
      </c>
      <c r="H177" s="11" t="str">
        <f>_xlfn.IFNA(VLOOKUP(F177,clientes!A:B,2,FALSE()),"--")</f>
        <v>Blend360</v>
      </c>
      <c r="I177" s="5" t="s">
        <v>33</v>
      </c>
      <c r="J177" s="11" t="s">
        <v>34</v>
      </c>
      <c r="K177" s="5" t="s">
        <v>34</v>
      </c>
      <c r="L177" s="4" t="s">
        <v>34</v>
      </c>
      <c r="M177" s="4" t="s">
        <v>34</v>
      </c>
      <c r="N177" s="4" t="s">
        <v>34</v>
      </c>
      <c r="O177" s="4" t="s">
        <v>34</v>
      </c>
      <c r="P177" s="11" t="s">
        <v>35</v>
      </c>
      <c r="Q177" s="11" t="s">
        <v>36</v>
      </c>
      <c r="R177" s="22">
        <v>5045</v>
      </c>
      <c r="S177" s="10" t="s">
        <v>37</v>
      </c>
      <c r="U177" s="64" t="s">
        <v>1584</v>
      </c>
      <c r="W177" s="4"/>
      <c r="X177" s="4"/>
      <c r="Y177" s="4"/>
    </row>
    <row r="178" spans="1:25" customFormat="1" ht="13.15">
      <c r="A178" s="22" t="s">
        <v>649</v>
      </c>
      <c r="B178" s="4" t="s">
        <v>645</v>
      </c>
      <c r="C178" s="11" t="str">
        <f t="shared" si="6"/>
        <v>ACA -  Virtualización infraestructura Cali  - Ret SW</v>
      </c>
      <c r="D178" s="4" t="s">
        <v>646</v>
      </c>
      <c r="E178" s="4" t="s">
        <v>48</v>
      </c>
      <c r="F178" s="4" t="s">
        <v>69</v>
      </c>
      <c r="G178" s="5" t="s">
        <v>50</v>
      </c>
      <c r="H178" s="11" t="str">
        <f>_xlfn.IFNA(VLOOKUP(F178,clientes!A:B,2,FALSE()),"--")</f>
        <v>Alcaldia de Cali</v>
      </c>
      <c r="I178" s="5" t="s">
        <v>33</v>
      </c>
      <c r="J178" s="12" t="s">
        <v>72</v>
      </c>
      <c r="K178" s="48" t="s">
        <v>647</v>
      </c>
      <c r="L178" s="10" t="s">
        <v>73</v>
      </c>
      <c r="M178" s="10" t="s">
        <v>74</v>
      </c>
      <c r="N178" s="10" t="s">
        <v>136</v>
      </c>
      <c r="O178" s="4" t="s">
        <v>569</v>
      </c>
      <c r="P178" s="11" t="s">
        <v>35</v>
      </c>
      <c r="Q178" s="11"/>
      <c r="R178" s="22"/>
      <c r="S178" s="4"/>
      <c r="U178" s="65"/>
      <c r="W178" s="4"/>
      <c r="X178" s="4"/>
      <c r="Y178" s="4"/>
    </row>
    <row r="179" spans="1:25" customFormat="1" ht="13.15">
      <c r="A179" s="22" t="s">
        <v>650</v>
      </c>
      <c r="B179" s="4" t="s">
        <v>645</v>
      </c>
      <c r="C179" s="11" t="str">
        <f t="shared" si="6"/>
        <v>ACA -  Virtualización infraestructura Cali  - Ret Other Vendors</v>
      </c>
      <c r="D179" s="4" t="s">
        <v>646</v>
      </c>
      <c r="E179" s="5" t="s">
        <v>347</v>
      </c>
      <c r="F179" s="4" t="s">
        <v>69</v>
      </c>
      <c r="G179" s="5" t="s">
        <v>61</v>
      </c>
      <c r="H179" s="11" t="str">
        <f>_xlfn.IFNA(VLOOKUP(F179,clientes!A:B,2,FALSE()),"--")</f>
        <v>Alcaldia de Cali</v>
      </c>
      <c r="I179" s="5" t="s">
        <v>33</v>
      </c>
      <c r="J179" s="12" t="s">
        <v>72</v>
      </c>
      <c r="K179" s="48" t="s">
        <v>647</v>
      </c>
      <c r="L179" s="10" t="s">
        <v>73</v>
      </c>
      <c r="M179" s="10" t="s">
        <v>74</v>
      </c>
      <c r="N179" s="10" t="s">
        <v>136</v>
      </c>
      <c r="O179" s="4" t="s">
        <v>569</v>
      </c>
      <c r="P179" s="11" t="s">
        <v>35</v>
      </c>
      <c r="Q179" s="11"/>
      <c r="R179" s="22"/>
      <c r="S179" s="4"/>
      <c r="U179" s="64"/>
      <c r="W179" s="4"/>
      <c r="X179" s="4"/>
      <c r="Y179" s="4"/>
    </row>
    <row r="180" spans="1:25" customFormat="1" ht="13.15">
      <c r="A180" s="22" t="s">
        <v>651</v>
      </c>
      <c r="B180" s="4" t="s">
        <v>652</v>
      </c>
      <c r="C180" s="11" t="str">
        <f t="shared" si="6"/>
        <v>ACA - Fase III DataCali - Fixed</v>
      </c>
      <c r="D180" s="4" t="s">
        <v>653</v>
      </c>
      <c r="E180" s="4" t="s">
        <v>80</v>
      </c>
      <c r="F180" s="4" t="s">
        <v>69</v>
      </c>
      <c r="G180" s="5" t="s">
        <v>81</v>
      </c>
      <c r="H180" s="11" t="str">
        <f>_xlfn.IFNA(VLOOKUP(F180,clientes!A:B,2,FALSE()),"--")</f>
        <v>Alcaldia de Cali</v>
      </c>
      <c r="I180" s="5" t="s">
        <v>33</v>
      </c>
      <c r="J180" s="12" t="s">
        <v>72</v>
      </c>
      <c r="K180" s="48" t="s">
        <v>654</v>
      </c>
      <c r="L180" s="10" t="s">
        <v>73</v>
      </c>
      <c r="M180" s="10" t="s">
        <v>74</v>
      </c>
      <c r="N180" s="10" t="s">
        <v>75</v>
      </c>
      <c r="O180" s="4" t="s">
        <v>569</v>
      </c>
      <c r="P180" s="11" t="s">
        <v>35</v>
      </c>
      <c r="Q180" s="11"/>
      <c r="R180" s="22"/>
      <c r="S180" s="4"/>
      <c r="U180" s="65"/>
      <c r="W180" s="4"/>
      <c r="X180" s="4"/>
      <c r="Y180" s="4"/>
    </row>
    <row r="181" spans="1:25" customFormat="1" ht="13.15">
      <c r="A181" s="22" t="s">
        <v>655</v>
      </c>
      <c r="B181" s="4" t="s">
        <v>652</v>
      </c>
      <c r="C181" s="11" t="str">
        <f t="shared" si="6"/>
        <v>ACA - Fase III DataCali - Ret Other Vendors</v>
      </c>
      <c r="D181" s="4" t="s">
        <v>653</v>
      </c>
      <c r="E181" s="5" t="s">
        <v>347</v>
      </c>
      <c r="F181" s="4" t="s">
        <v>69</v>
      </c>
      <c r="G181" s="5" t="s">
        <v>61</v>
      </c>
      <c r="H181" s="11" t="str">
        <f>_xlfn.IFNA(VLOOKUP(F181,clientes!A:B,2,FALSE()),"--")</f>
        <v>Alcaldia de Cali</v>
      </c>
      <c r="I181" s="5" t="s">
        <v>33</v>
      </c>
      <c r="J181" s="12" t="s">
        <v>72</v>
      </c>
      <c r="K181" s="48" t="s">
        <v>654</v>
      </c>
      <c r="L181" s="10" t="s">
        <v>73</v>
      </c>
      <c r="M181" s="10" t="s">
        <v>74</v>
      </c>
      <c r="N181" s="10" t="s">
        <v>75</v>
      </c>
      <c r="O181" s="4" t="s">
        <v>569</v>
      </c>
      <c r="P181" s="11" t="s">
        <v>35</v>
      </c>
      <c r="Q181" s="11"/>
      <c r="R181" s="22"/>
      <c r="S181" s="4"/>
      <c r="U181" s="64"/>
      <c r="W181" s="4"/>
      <c r="X181" s="4"/>
      <c r="Y181" s="4"/>
    </row>
    <row r="182" spans="1:25" ht="39.6">
      <c r="A182" s="22" t="s">
        <v>656</v>
      </c>
      <c r="B182" s="4" t="s">
        <v>603</v>
      </c>
      <c r="C182" t="s">
        <v>657</v>
      </c>
      <c r="D182" s="4" t="s">
        <v>605</v>
      </c>
      <c r="E182" s="4" t="s">
        <v>48</v>
      </c>
      <c r="F182" s="4" t="s">
        <v>606</v>
      </c>
      <c r="G182" s="5" t="s">
        <v>50</v>
      </c>
      <c r="H182" s="11" t="str">
        <f>_xlfn.IFNA(VLOOKUP(F182,clientes!A:B,2,FALSE()),"--")</f>
        <v>La Administradora de los Recursos del Sistema General de Seguridad Social en Salud</v>
      </c>
      <c r="I182" s="5" t="s">
        <v>71</v>
      </c>
      <c r="K182" s="19" t="s">
        <v>608</v>
      </c>
      <c r="L182" s="4" t="s">
        <v>282</v>
      </c>
      <c r="M182" s="4" t="s">
        <v>135</v>
      </c>
      <c r="N182" s="10" t="s">
        <v>75</v>
      </c>
      <c r="O182" s="4" t="s">
        <v>241</v>
      </c>
      <c r="P182" s="11" t="s">
        <v>77</v>
      </c>
      <c r="U182" s="65" t="s">
        <v>1585</v>
      </c>
    </row>
    <row r="183" spans="1:25" ht="26.45">
      <c r="A183" s="22" t="s">
        <v>658</v>
      </c>
      <c r="B183" s="4" t="s">
        <v>659</v>
      </c>
      <c r="C183" s="12" t="s">
        <v>660</v>
      </c>
      <c r="D183" s="12" t="s">
        <v>661</v>
      </c>
      <c r="E183" s="4" t="s">
        <v>80</v>
      </c>
      <c r="F183" s="4" t="s">
        <v>662</v>
      </c>
      <c r="G183" s="5" t="s">
        <v>81</v>
      </c>
      <c r="H183" s="11" t="str">
        <f>_xlfn.IFNA(VLOOKUP(F183,clientes!A:B,2,FALSE()),"--")</f>
        <v>Secretaría de Educación del Distrito</v>
      </c>
      <c r="I183" s="5" t="s">
        <v>33</v>
      </c>
      <c r="J183" s="12" t="s">
        <v>663</v>
      </c>
      <c r="K183" s="52" t="s">
        <v>664</v>
      </c>
      <c r="L183" s="4" t="s">
        <v>358</v>
      </c>
      <c r="M183" s="4" t="s">
        <v>74</v>
      </c>
      <c r="N183" s="4" t="s">
        <v>201</v>
      </c>
      <c r="O183" s="4" t="s">
        <v>256</v>
      </c>
      <c r="P183" s="11" t="s">
        <v>35</v>
      </c>
      <c r="T183"/>
      <c r="U183" s="66"/>
      <c r="V183"/>
    </row>
    <row r="184" spans="1:25" ht="26.45">
      <c r="A184" s="22" t="s">
        <v>668</v>
      </c>
      <c r="B184" s="4" t="s">
        <v>659</v>
      </c>
      <c r="C184" s="12" t="s">
        <v>669</v>
      </c>
      <c r="D184" s="12" t="s">
        <v>661</v>
      </c>
      <c r="E184" s="4" t="s">
        <v>60</v>
      </c>
      <c r="F184" s="4" t="s">
        <v>662</v>
      </c>
      <c r="G184" s="5" t="s">
        <v>50</v>
      </c>
      <c r="H184" s="11" t="str">
        <f>_xlfn.IFNA(VLOOKUP(F184,clientes!A:B,2,FALSE()),"--")</f>
        <v>Secretaría de Educación del Distrito</v>
      </c>
      <c r="I184" s="5" t="s">
        <v>33</v>
      </c>
      <c r="J184" s="12" t="s">
        <v>663</v>
      </c>
      <c r="K184" s="48" t="s">
        <v>664</v>
      </c>
      <c r="L184" s="4" t="s">
        <v>358</v>
      </c>
      <c r="M184" s="4" t="s">
        <v>74</v>
      </c>
      <c r="N184" s="4" t="s">
        <v>201</v>
      </c>
      <c r="O184" s="4" t="s">
        <v>256</v>
      </c>
      <c r="P184" s="11" t="s">
        <v>35</v>
      </c>
      <c r="U184" s="63"/>
    </row>
    <row r="185" spans="1:25" ht="26.45">
      <c r="A185" s="22" t="s">
        <v>670</v>
      </c>
      <c r="B185" s="4" t="s">
        <v>659</v>
      </c>
      <c r="C185" s="12" t="s">
        <v>671</v>
      </c>
      <c r="D185" s="12" t="s">
        <v>661</v>
      </c>
      <c r="E185" s="4" t="s">
        <v>48</v>
      </c>
      <c r="F185" s="4" t="s">
        <v>662</v>
      </c>
      <c r="G185" s="5" t="s">
        <v>50</v>
      </c>
      <c r="H185" s="11" t="str">
        <f>_xlfn.IFNA(VLOOKUP(F185,clientes!A:B,2,FALSE()),"--")</f>
        <v>Secretaría de Educación del Distrito</v>
      </c>
      <c r="I185" s="5" t="s">
        <v>33</v>
      </c>
      <c r="J185" s="12" t="s">
        <v>663</v>
      </c>
      <c r="K185" s="48" t="s">
        <v>664</v>
      </c>
      <c r="L185" s="4" t="s">
        <v>358</v>
      </c>
      <c r="M185" s="4" t="s">
        <v>74</v>
      </c>
      <c r="N185" s="4" t="s">
        <v>201</v>
      </c>
      <c r="O185" s="4" t="s">
        <v>256</v>
      </c>
      <c r="P185" s="11" t="s">
        <v>35</v>
      </c>
      <c r="U185" s="66"/>
    </row>
    <row r="186" spans="1:25" ht="26.45">
      <c r="A186" s="22" t="s">
        <v>672</v>
      </c>
      <c r="B186" s="4" t="s">
        <v>659</v>
      </c>
      <c r="C186" s="12" t="s">
        <v>673</v>
      </c>
      <c r="D186" s="12" t="s">
        <v>661</v>
      </c>
      <c r="E186" s="4" t="s">
        <v>68</v>
      </c>
      <c r="F186" s="4" t="s">
        <v>662</v>
      </c>
      <c r="G186" s="5" t="s">
        <v>50</v>
      </c>
      <c r="H186" s="11" t="str">
        <f>_xlfn.IFNA(VLOOKUP(F186,clientes!A:B,2,FALSE()),"--")</f>
        <v>Secretaría de Educación del Distrito</v>
      </c>
      <c r="I186" s="5" t="s">
        <v>33</v>
      </c>
      <c r="J186" s="12" t="s">
        <v>663</v>
      </c>
      <c r="K186" s="48" t="s">
        <v>664</v>
      </c>
      <c r="L186" s="4" t="s">
        <v>358</v>
      </c>
      <c r="M186" s="4" t="s">
        <v>74</v>
      </c>
      <c r="N186" s="4" t="s">
        <v>201</v>
      </c>
      <c r="O186" s="4" t="s">
        <v>256</v>
      </c>
      <c r="P186" s="11" t="s">
        <v>35</v>
      </c>
      <c r="U186" s="63"/>
    </row>
    <row r="187" spans="1:25" ht="14.45">
      <c r="A187" s="22" t="s">
        <v>674</v>
      </c>
      <c r="B187" s="4" t="s">
        <v>675</v>
      </c>
      <c r="C187" s="4" t="s">
        <v>676</v>
      </c>
      <c r="D187" s="4" t="s">
        <v>677</v>
      </c>
      <c r="E187" s="4" t="s">
        <v>80</v>
      </c>
      <c r="F187" s="4" t="s">
        <v>678</v>
      </c>
      <c r="G187" s="5" t="s">
        <v>81</v>
      </c>
      <c r="H187" s="11" t="str">
        <f>_xlfn.IFNA(VLOOKUP(F187,clientes!A:B,2,FALSE()),"--")</f>
        <v>Instituto Geografico Militar</v>
      </c>
      <c r="I187" s="5" t="s">
        <v>33</v>
      </c>
      <c r="J187" s="12" t="s">
        <v>679</v>
      </c>
      <c r="L187" s="10" t="s">
        <v>124</v>
      </c>
      <c r="M187" s="4" t="s">
        <v>680</v>
      </c>
      <c r="N187" s="10" t="s">
        <v>136</v>
      </c>
      <c r="O187" s="4" t="s">
        <v>681</v>
      </c>
      <c r="P187" s="11" t="s">
        <v>35</v>
      </c>
      <c r="U187" s="66"/>
    </row>
    <row r="188" spans="1:25" ht="15.6" customHeight="1">
      <c r="A188" s="22" t="s">
        <v>685</v>
      </c>
      <c r="B188" s="4" t="s">
        <v>675</v>
      </c>
      <c r="C188" s="4" t="s">
        <v>686</v>
      </c>
      <c r="D188" s="4" t="s">
        <v>677</v>
      </c>
      <c r="E188" s="4" t="s">
        <v>60</v>
      </c>
      <c r="F188" s="4" t="s">
        <v>678</v>
      </c>
      <c r="G188" s="5" t="s">
        <v>61</v>
      </c>
      <c r="H188" s="11" t="str">
        <f>_xlfn.IFNA(VLOOKUP(F188,clientes!A:B,2,FALSE()),"--")</f>
        <v>Instituto Geografico Militar</v>
      </c>
      <c r="I188" s="5" t="s">
        <v>33</v>
      </c>
      <c r="J188" s="12" t="s">
        <v>679</v>
      </c>
      <c r="L188" s="10" t="s">
        <v>124</v>
      </c>
      <c r="M188" s="4" t="s">
        <v>680</v>
      </c>
      <c r="N188" s="10" t="s">
        <v>136</v>
      </c>
      <c r="O188" s="4" t="s">
        <v>681</v>
      </c>
      <c r="P188" s="11" t="s">
        <v>35</v>
      </c>
      <c r="U188" s="63"/>
    </row>
    <row r="189" spans="1:25" ht="15.6" customHeight="1">
      <c r="A189" s="22" t="s">
        <v>687</v>
      </c>
      <c r="B189" s="4" t="s">
        <v>675</v>
      </c>
      <c r="C189" s="4" t="s">
        <v>688</v>
      </c>
      <c r="D189" s="4" t="s">
        <v>677</v>
      </c>
      <c r="E189" s="4" t="s">
        <v>68</v>
      </c>
      <c r="F189" s="4" t="s">
        <v>678</v>
      </c>
      <c r="G189" s="5" t="s">
        <v>70</v>
      </c>
      <c r="H189" s="11" t="str">
        <f>_xlfn.IFNA(VLOOKUP(F189,clientes!A:B,2,FALSE()),"--")</f>
        <v>Instituto Geografico Militar</v>
      </c>
      <c r="I189" s="5" t="s">
        <v>33</v>
      </c>
      <c r="J189" s="12" t="s">
        <v>679</v>
      </c>
      <c r="L189" s="10" t="s">
        <v>124</v>
      </c>
      <c r="M189" s="4" t="s">
        <v>680</v>
      </c>
      <c r="N189" s="10" t="s">
        <v>136</v>
      </c>
      <c r="O189" s="4" t="s">
        <v>681</v>
      </c>
      <c r="P189" s="11" t="s">
        <v>35</v>
      </c>
      <c r="U189" s="66"/>
    </row>
    <row r="190" spans="1:25" ht="15.6" customHeight="1">
      <c r="A190" s="22" t="s">
        <v>689</v>
      </c>
      <c r="B190" s="4" t="s">
        <v>675</v>
      </c>
      <c r="C190" s="4" t="s">
        <v>690</v>
      </c>
      <c r="D190" s="4" t="s">
        <v>677</v>
      </c>
      <c r="E190" s="4" t="s">
        <v>691</v>
      </c>
      <c r="F190" s="4" t="s">
        <v>678</v>
      </c>
      <c r="G190" s="5" t="s">
        <v>50</v>
      </c>
      <c r="H190" s="11" t="str">
        <f>_xlfn.IFNA(VLOOKUP(F190,clientes!A:B,2,FALSE()),"--")</f>
        <v>Instituto Geografico Militar</v>
      </c>
      <c r="I190" s="5" t="s">
        <v>33</v>
      </c>
      <c r="J190" s="12" t="s">
        <v>679</v>
      </c>
      <c r="L190" s="10" t="s">
        <v>124</v>
      </c>
      <c r="M190" s="4" t="s">
        <v>680</v>
      </c>
      <c r="N190" s="10" t="s">
        <v>136</v>
      </c>
      <c r="O190" s="4" t="s">
        <v>681</v>
      </c>
      <c r="P190" s="11" t="s">
        <v>35</v>
      </c>
      <c r="U190" s="63"/>
    </row>
    <row r="191" spans="1:25" ht="15.6" customHeight="1">
      <c r="A191" s="22" t="s">
        <v>692</v>
      </c>
      <c r="B191" s="4" t="s">
        <v>693</v>
      </c>
      <c r="C191" s="4" t="s">
        <v>694</v>
      </c>
      <c r="D191" s="4" t="s">
        <v>695</v>
      </c>
      <c r="E191" s="5" t="s">
        <v>68</v>
      </c>
      <c r="F191" s="4" t="s">
        <v>192</v>
      </c>
      <c r="G191" s="4" t="s">
        <v>70</v>
      </c>
      <c r="H191" s="11" t="str">
        <f>_xlfn.IFNA(VLOOKUP(F191,clientes!A:B,2,FALSE()),"--")</f>
        <v>Universidad Nacional de Colombia</v>
      </c>
      <c r="I191" s="5" t="s">
        <v>33</v>
      </c>
      <c r="L191" s="4" t="s">
        <v>53</v>
      </c>
      <c r="M191" s="4" t="s">
        <v>213</v>
      </c>
      <c r="N191" s="10" t="s">
        <v>136</v>
      </c>
      <c r="O191" s="4" t="s">
        <v>137</v>
      </c>
      <c r="P191" s="11" t="s">
        <v>35</v>
      </c>
      <c r="R191" s="22">
        <v>81090</v>
      </c>
      <c r="T191"/>
      <c r="U191" s="66"/>
      <c r="V191"/>
    </row>
    <row r="192" spans="1:25" ht="13.15">
      <c r="A192" s="22" t="s">
        <v>696</v>
      </c>
      <c r="B192" s="4" t="s">
        <v>693</v>
      </c>
      <c r="C192" s="4" t="s">
        <v>697</v>
      </c>
      <c r="D192" s="4" t="s">
        <v>695</v>
      </c>
      <c r="E192" s="5" t="s">
        <v>68</v>
      </c>
      <c r="F192" s="4" t="s">
        <v>192</v>
      </c>
      <c r="G192" s="4" t="s">
        <v>70</v>
      </c>
      <c r="H192" s="11" t="str">
        <f>_xlfn.IFNA(VLOOKUP(F192,clientes!A:B,2,FALSE()),"--")</f>
        <v>Universidad Nacional de Colombia</v>
      </c>
      <c r="I192" s="5" t="s">
        <v>33</v>
      </c>
      <c r="L192" s="4" t="s">
        <v>53</v>
      </c>
      <c r="M192" s="4" t="s">
        <v>213</v>
      </c>
      <c r="N192" s="10" t="s">
        <v>136</v>
      </c>
      <c r="O192" s="4" t="s">
        <v>137</v>
      </c>
      <c r="P192" s="11" t="s">
        <v>35</v>
      </c>
      <c r="R192" s="22">
        <v>81091</v>
      </c>
      <c r="T192"/>
      <c r="U192" s="65"/>
      <c r="V192"/>
    </row>
    <row r="193" spans="1:22" ht="13.15">
      <c r="A193" s="22" t="s">
        <v>698</v>
      </c>
      <c r="B193" s="4" t="s">
        <v>693</v>
      </c>
      <c r="C193" s="4" t="s">
        <v>699</v>
      </c>
      <c r="D193" s="4" t="s">
        <v>695</v>
      </c>
      <c r="E193" s="5" t="s">
        <v>68</v>
      </c>
      <c r="F193" s="4" t="s">
        <v>192</v>
      </c>
      <c r="G193" s="4" t="s">
        <v>70</v>
      </c>
      <c r="H193" s="11" t="str">
        <f>_xlfn.IFNA(VLOOKUP(F193,clientes!A:B,2,FALSE()),"--")</f>
        <v>Universidad Nacional de Colombia</v>
      </c>
      <c r="I193" s="5" t="s">
        <v>33</v>
      </c>
      <c r="L193" s="4" t="s">
        <v>53</v>
      </c>
      <c r="M193" s="4" t="s">
        <v>213</v>
      </c>
      <c r="N193" s="10" t="s">
        <v>136</v>
      </c>
      <c r="O193" s="4" t="s">
        <v>137</v>
      </c>
      <c r="P193" s="11" t="s">
        <v>35</v>
      </c>
      <c r="R193" s="22">
        <v>81092</v>
      </c>
      <c r="T193"/>
      <c r="U193" s="64"/>
      <c r="V193"/>
    </row>
    <row r="194" spans="1:22" ht="39.6">
      <c r="A194" s="22" t="s">
        <v>700</v>
      </c>
      <c r="B194" s="4" t="s">
        <v>701</v>
      </c>
      <c r="C194" s="4" t="s">
        <v>702</v>
      </c>
      <c r="D194" s="4" t="s">
        <v>703</v>
      </c>
      <c r="E194" s="4" t="s">
        <v>80</v>
      </c>
      <c r="F194" s="4" t="s">
        <v>606</v>
      </c>
      <c r="G194" s="5" t="s">
        <v>81</v>
      </c>
      <c r="H194" s="11" t="str">
        <f>_xlfn.IFNA(VLOOKUP(F194,clientes!A:B,2,FALSE()),"--")</f>
        <v>La Administradora de los Recursos del Sistema General de Seguridad Social en Salud</v>
      </c>
      <c r="I194" s="5" t="s">
        <v>33</v>
      </c>
      <c r="K194" s="48" t="s">
        <v>704</v>
      </c>
      <c r="L194" s="4" t="s">
        <v>705</v>
      </c>
      <c r="M194" s="4" t="s">
        <v>135</v>
      </c>
      <c r="N194" s="4" t="s">
        <v>136</v>
      </c>
      <c r="O194" s="4" t="s">
        <v>241</v>
      </c>
      <c r="P194" s="11" t="s">
        <v>35</v>
      </c>
      <c r="R194" s="22">
        <v>2519</v>
      </c>
      <c r="U194" s="65"/>
    </row>
    <row r="195" spans="1:22" ht="39.6">
      <c r="A195" s="22" t="s">
        <v>709</v>
      </c>
      <c r="B195" s="4" t="s">
        <v>701</v>
      </c>
      <c r="C195" s="4" t="s">
        <v>710</v>
      </c>
      <c r="D195" s="4" t="s">
        <v>703</v>
      </c>
      <c r="E195" s="5" t="s">
        <v>68</v>
      </c>
      <c r="F195" s="4" t="s">
        <v>606</v>
      </c>
      <c r="G195" s="4" t="s">
        <v>70</v>
      </c>
      <c r="H195" s="11" t="str">
        <f>_xlfn.IFNA(VLOOKUP(F195,clientes!A:B,2,FALSE()),"--")</f>
        <v>La Administradora de los Recursos del Sistema General de Seguridad Social en Salud</v>
      </c>
      <c r="I195" s="5" t="s">
        <v>33</v>
      </c>
      <c r="K195" s="48" t="s">
        <v>704</v>
      </c>
      <c r="L195" s="4" t="s">
        <v>705</v>
      </c>
      <c r="N195" s="10" t="s">
        <v>136</v>
      </c>
      <c r="O195" s="4" t="s">
        <v>444</v>
      </c>
      <c r="P195" s="11" t="s">
        <v>35</v>
      </c>
      <c r="U195" s="66"/>
    </row>
    <row r="196" spans="1:22" ht="13.15" customHeight="1">
      <c r="A196" s="22" t="s">
        <v>711</v>
      </c>
      <c r="B196" s="4" t="s">
        <v>701</v>
      </c>
      <c r="C196" s="4" t="s">
        <v>712</v>
      </c>
      <c r="D196" s="4" t="s">
        <v>703</v>
      </c>
      <c r="E196" s="4" t="s">
        <v>691</v>
      </c>
      <c r="F196" s="4" t="s">
        <v>606</v>
      </c>
      <c r="G196" s="5" t="s">
        <v>50</v>
      </c>
      <c r="H196" s="11" t="str">
        <f>_xlfn.IFNA(VLOOKUP(F196,clientes!A:B,2,FALSE()),"--")</f>
        <v>La Administradora de los Recursos del Sistema General de Seguridad Social en Salud</v>
      </c>
      <c r="I196" s="5" t="s">
        <v>33</v>
      </c>
      <c r="K196" s="48" t="s">
        <v>704</v>
      </c>
      <c r="L196" s="4" t="s">
        <v>705</v>
      </c>
      <c r="N196" s="10" t="s">
        <v>136</v>
      </c>
      <c r="O196" s="4" t="s">
        <v>444</v>
      </c>
      <c r="P196" s="11" t="s">
        <v>35</v>
      </c>
      <c r="U196" s="63"/>
    </row>
    <row r="197" spans="1:22" ht="12.75" customHeight="1">
      <c r="A197" s="22" t="s">
        <v>713</v>
      </c>
      <c r="B197" s="4" t="s">
        <v>701</v>
      </c>
      <c r="C197" s="4" t="s">
        <v>714</v>
      </c>
      <c r="D197" s="4" t="s">
        <v>703</v>
      </c>
      <c r="E197" s="5" t="s">
        <v>347</v>
      </c>
      <c r="F197" s="4" t="s">
        <v>606</v>
      </c>
      <c r="G197" s="5" t="s">
        <v>61</v>
      </c>
      <c r="H197" s="11" t="str">
        <f>_xlfn.IFNA(VLOOKUP(F197,clientes!A:B,2,FALSE()),"--")</f>
        <v>La Administradora de los Recursos del Sistema General de Seguridad Social en Salud</v>
      </c>
      <c r="I197" s="5" t="s">
        <v>33</v>
      </c>
      <c r="L197" s="4" t="s">
        <v>705</v>
      </c>
      <c r="N197" s="10" t="s">
        <v>136</v>
      </c>
      <c r="O197" s="4" t="s">
        <v>444</v>
      </c>
      <c r="P197" s="11" t="s">
        <v>35</v>
      </c>
      <c r="U197" s="66"/>
    </row>
    <row r="198" spans="1:22" ht="13.15" customHeight="1">
      <c r="A198" s="22" t="s">
        <v>715</v>
      </c>
      <c r="B198" s="4" t="s">
        <v>716</v>
      </c>
      <c r="C198" s="4" t="s">
        <v>717</v>
      </c>
      <c r="D198" s="4" t="s">
        <v>718</v>
      </c>
      <c r="E198" s="4" t="s">
        <v>80</v>
      </c>
      <c r="F198" s="4" t="s">
        <v>606</v>
      </c>
      <c r="G198" s="5" t="s">
        <v>81</v>
      </c>
      <c r="H198" s="11" t="str">
        <f>_xlfn.IFNA(VLOOKUP(F198,clientes!A:B,2,FALSE()),"--")</f>
        <v>La Administradora de los Recursos del Sistema General de Seguridad Social en Salud</v>
      </c>
      <c r="I198" s="5" t="s">
        <v>33</v>
      </c>
      <c r="J198" s="48" t="s">
        <v>719</v>
      </c>
      <c r="K198" s="43" t="s">
        <v>720</v>
      </c>
      <c r="L198" s="4" t="s">
        <v>282</v>
      </c>
      <c r="M198" s="4" t="s">
        <v>135</v>
      </c>
      <c r="N198" s="10" t="s">
        <v>75</v>
      </c>
      <c r="O198" s="4" t="s">
        <v>721</v>
      </c>
      <c r="P198" s="11" t="s">
        <v>35</v>
      </c>
      <c r="R198" s="22">
        <v>87351</v>
      </c>
      <c r="U198" s="63"/>
    </row>
    <row r="199" spans="1:22" ht="12.75" customHeight="1">
      <c r="A199" s="22" t="s">
        <v>722</v>
      </c>
      <c r="B199" s="4" t="s">
        <v>716</v>
      </c>
      <c r="C199" s="4" t="s">
        <v>723</v>
      </c>
      <c r="D199" s="4" t="s">
        <v>718</v>
      </c>
      <c r="E199" s="5" t="s">
        <v>68</v>
      </c>
      <c r="F199" s="4" t="s">
        <v>606</v>
      </c>
      <c r="G199" s="4" t="s">
        <v>70</v>
      </c>
      <c r="H199" s="11" t="str">
        <f>_xlfn.IFNA(VLOOKUP(F199,clientes!A:B,2,FALSE()),"--")</f>
        <v>La Administradora de los Recursos del Sistema General de Seguridad Social en Salud</v>
      </c>
      <c r="I199" s="5" t="s">
        <v>33</v>
      </c>
      <c r="J199" s="48" t="s">
        <v>719</v>
      </c>
      <c r="K199" s="43" t="s">
        <v>720</v>
      </c>
      <c r="L199" s="4" t="s">
        <v>282</v>
      </c>
      <c r="M199" s="4" t="s">
        <v>135</v>
      </c>
      <c r="N199" s="10" t="s">
        <v>75</v>
      </c>
      <c r="O199" s="4" t="s">
        <v>721</v>
      </c>
      <c r="P199" s="11" t="s">
        <v>35</v>
      </c>
      <c r="R199" s="22">
        <v>87451</v>
      </c>
      <c r="U199" s="66"/>
    </row>
    <row r="200" spans="1:22" ht="12.75" customHeight="1">
      <c r="A200" s="22" t="s">
        <v>724</v>
      </c>
      <c r="B200" s="4" t="s">
        <v>716</v>
      </c>
      <c r="C200" s="4" t="s">
        <v>725</v>
      </c>
      <c r="D200" s="4" t="s">
        <v>718</v>
      </c>
      <c r="E200" s="4" t="s">
        <v>60</v>
      </c>
      <c r="F200" s="4" t="s">
        <v>606</v>
      </c>
      <c r="G200" s="5" t="s">
        <v>61</v>
      </c>
      <c r="H200" s="11" t="str">
        <f>_xlfn.IFNA(VLOOKUP(F200,clientes!A:B,2,FALSE()),"--")</f>
        <v>La Administradora de los Recursos del Sistema General de Seguridad Social en Salud</v>
      </c>
      <c r="I200" s="5" t="s">
        <v>33</v>
      </c>
      <c r="J200" s="48" t="s">
        <v>719</v>
      </c>
      <c r="K200" s="43" t="s">
        <v>720</v>
      </c>
      <c r="L200" s="4" t="s">
        <v>282</v>
      </c>
      <c r="M200" s="4" t="s">
        <v>135</v>
      </c>
      <c r="N200" s="10" t="s">
        <v>75</v>
      </c>
      <c r="O200" s="4" t="s">
        <v>721</v>
      </c>
      <c r="P200" s="11" t="s">
        <v>35</v>
      </c>
      <c r="R200" s="22">
        <v>87452</v>
      </c>
    </row>
    <row r="201" spans="1:22" ht="12.75" customHeight="1">
      <c r="A201" s="22" t="s">
        <v>726</v>
      </c>
      <c r="B201" s="4" t="s">
        <v>716</v>
      </c>
      <c r="C201" s="4" t="s">
        <v>727</v>
      </c>
      <c r="D201" s="4" t="s">
        <v>718</v>
      </c>
      <c r="E201" s="5" t="s">
        <v>347</v>
      </c>
      <c r="F201" s="4" t="s">
        <v>606</v>
      </c>
      <c r="G201" s="5" t="s">
        <v>61</v>
      </c>
      <c r="H201" s="11" t="str">
        <f>_xlfn.IFNA(VLOOKUP(F201,clientes!A:B,2,FALSE()),"--")</f>
        <v>La Administradora de los Recursos del Sistema General de Seguridad Social en Salud</v>
      </c>
      <c r="I201" s="5" t="s">
        <v>33</v>
      </c>
      <c r="J201" s="48" t="s">
        <v>719</v>
      </c>
      <c r="K201" s="43" t="s">
        <v>720</v>
      </c>
      <c r="L201" s="4" t="s">
        <v>282</v>
      </c>
      <c r="M201" s="4" t="s">
        <v>135</v>
      </c>
      <c r="N201" s="10" t="s">
        <v>75</v>
      </c>
      <c r="O201" s="4" t="s">
        <v>721</v>
      </c>
      <c r="P201" s="11" t="s">
        <v>35</v>
      </c>
      <c r="R201" s="22">
        <v>87454</v>
      </c>
    </row>
    <row r="202" spans="1:22" ht="12.75" customHeight="1">
      <c r="A202" s="22" t="s">
        <v>728</v>
      </c>
      <c r="B202" s="4" t="s">
        <v>716</v>
      </c>
      <c r="C202" s="4" t="s">
        <v>729</v>
      </c>
      <c r="D202" s="4" t="s">
        <v>718</v>
      </c>
      <c r="E202" s="4" t="s">
        <v>691</v>
      </c>
      <c r="F202" s="4" t="s">
        <v>606</v>
      </c>
      <c r="G202" s="5" t="s">
        <v>50</v>
      </c>
      <c r="H202" s="11" t="str">
        <f>_xlfn.IFNA(VLOOKUP(F202,clientes!A:B,2,FALSE()),"--")</f>
        <v>La Administradora de los Recursos del Sistema General de Seguridad Social en Salud</v>
      </c>
      <c r="I202" s="5" t="s">
        <v>33</v>
      </c>
      <c r="J202" s="48" t="s">
        <v>719</v>
      </c>
      <c r="K202" s="43" t="s">
        <v>720</v>
      </c>
      <c r="L202" s="4" t="s">
        <v>282</v>
      </c>
      <c r="M202" s="4" t="s">
        <v>135</v>
      </c>
      <c r="N202" s="10" t="s">
        <v>75</v>
      </c>
      <c r="O202" s="4" t="s">
        <v>721</v>
      </c>
      <c r="P202" s="11" t="s">
        <v>35</v>
      </c>
      <c r="R202" s="22">
        <v>87453</v>
      </c>
    </row>
    <row r="203" spans="1:22" ht="12.75" customHeight="1">
      <c r="A203" s="22" t="s">
        <v>730</v>
      </c>
      <c r="B203" s="4" t="s">
        <v>731</v>
      </c>
      <c r="C203" s="11" t="str">
        <f>F203&amp;" - "&amp;D203&amp;" - "&amp;E203</f>
        <v>ACA - Hacienda a un Click - Fixed</v>
      </c>
      <c r="D203" s="4" t="s">
        <v>732</v>
      </c>
      <c r="E203" s="4" t="s">
        <v>80</v>
      </c>
      <c r="F203" s="4" t="s">
        <v>69</v>
      </c>
      <c r="G203" s="5" t="s">
        <v>81</v>
      </c>
      <c r="H203" s="11" t="str">
        <f>_xlfn.IFNA(VLOOKUP(F203,clientes!A:B,2,FALSE()),"--")</f>
        <v>Alcaldia de Cali</v>
      </c>
      <c r="I203" s="5" t="s">
        <v>33</v>
      </c>
      <c r="J203" s="12" t="s">
        <v>72</v>
      </c>
      <c r="K203" s="48" t="s">
        <v>733</v>
      </c>
      <c r="L203" s="10" t="s">
        <v>73</v>
      </c>
      <c r="M203" s="10" t="s">
        <v>74</v>
      </c>
      <c r="N203" s="52" t="s">
        <v>55</v>
      </c>
      <c r="O203" s="4" t="s">
        <v>569</v>
      </c>
      <c r="P203" s="11" t="s">
        <v>35</v>
      </c>
      <c r="Q203" s="11"/>
    </row>
    <row r="204" spans="1:22" ht="12.75" customHeight="1">
      <c r="A204" s="22" t="s">
        <v>734</v>
      </c>
      <c r="B204" s="4" t="s">
        <v>731</v>
      </c>
      <c r="C204" s="11" t="str">
        <f>F204&amp;" - "&amp;D204&amp;" - "&amp;E204</f>
        <v>ACA - Hacienda a un Click - Ret</v>
      </c>
      <c r="D204" s="4" t="s">
        <v>732</v>
      </c>
      <c r="E204" s="4" t="s">
        <v>60</v>
      </c>
      <c r="F204" s="4" t="s">
        <v>69</v>
      </c>
      <c r="G204" s="5" t="s">
        <v>61</v>
      </c>
      <c r="H204" s="11" t="str">
        <f>_xlfn.IFNA(VLOOKUP(F204,clientes!A:B,2,FALSE()),"--")</f>
        <v>Alcaldia de Cali</v>
      </c>
      <c r="I204" s="5" t="s">
        <v>33</v>
      </c>
      <c r="J204" s="12" t="s">
        <v>72</v>
      </c>
      <c r="K204" s="48" t="s">
        <v>733</v>
      </c>
      <c r="L204" s="10" t="s">
        <v>73</v>
      </c>
      <c r="M204" s="10" t="s">
        <v>74</v>
      </c>
      <c r="N204" s="52" t="s">
        <v>55</v>
      </c>
      <c r="O204" s="4" t="s">
        <v>569</v>
      </c>
      <c r="P204" s="11" t="s">
        <v>35</v>
      </c>
      <c r="Q204" s="11"/>
    </row>
    <row r="205" spans="1:22" ht="12.75" customHeight="1">
      <c r="A205" s="22" t="s">
        <v>735</v>
      </c>
      <c r="B205" s="4" t="s">
        <v>731</v>
      </c>
      <c r="C205" s="11" t="str">
        <f>F205&amp;" - "&amp;D205&amp;" - "&amp;E205</f>
        <v>ACA - Hacienda a un Click - Ret SW</v>
      </c>
      <c r="D205" s="4" t="s">
        <v>732</v>
      </c>
      <c r="E205" s="4" t="s">
        <v>48</v>
      </c>
      <c r="F205" s="4" t="s">
        <v>69</v>
      </c>
      <c r="G205" s="5" t="s">
        <v>50</v>
      </c>
      <c r="H205" s="11" t="str">
        <f>_xlfn.IFNA(VLOOKUP(F205,clientes!A:B,2,FALSE()),"--")</f>
        <v>Alcaldia de Cali</v>
      </c>
      <c r="I205" s="5" t="s">
        <v>33</v>
      </c>
      <c r="J205" s="12" t="s">
        <v>72</v>
      </c>
      <c r="K205" s="48" t="s">
        <v>733</v>
      </c>
      <c r="L205" s="10" t="s">
        <v>73</v>
      </c>
      <c r="M205" s="10" t="s">
        <v>74</v>
      </c>
      <c r="N205" s="52" t="s">
        <v>55</v>
      </c>
      <c r="O205" s="4" t="s">
        <v>569</v>
      </c>
      <c r="P205" s="11" t="s">
        <v>35</v>
      </c>
      <c r="Q205" s="11"/>
    </row>
    <row r="206" spans="1:22" ht="12.75" customHeight="1">
      <c r="A206" s="22" t="s">
        <v>736</v>
      </c>
      <c r="B206" s="4" t="s">
        <v>731</v>
      </c>
      <c r="C206" s="11" t="str">
        <f>F206&amp;" - "&amp;D206&amp;" - "&amp;E206</f>
        <v>ACA - Hacienda a un Click - Ret Other Vendors</v>
      </c>
      <c r="D206" s="4" t="s">
        <v>732</v>
      </c>
      <c r="E206" s="5" t="s">
        <v>347</v>
      </c>
      <c r="F206" s="4" t="s">
        <v>69</v>
      </c>
      <c r="G206" s="5" t="s">
        <v>61</v>
      </c>
      <c r="H206" s="11" t="str">
        <f>_xlfn.IFNA(VLOOKUP(F206,clientes!A:B,2,FALSE()),"--")</f>
        <v>Alcaldia de Cali</v>
      </c>
      <c r="I206" s="5" t="s">
        <v>33</v>
      </c>
      <c r="J206" s="12" t="s">
        <v>72</v>
      </c>
      <c r="K206" s="48" t="s">
        <v>733</v>
      </c>
      <c r="L206" s="10" t="s">
        <v>73</v>
      </c>
      <c r="M206" s="10" t="s">
        <v>74</v>
      </c>
      <c r="N206" s="52" t="s">
        <v>55</v>
      </c>
      <c r="O206" s="4" t="s">
        <v>569</v>
      </c>
      <c r="P206" s="11" t="s">
        <v>35</v>
      </c>
      <c r="Q206" s="11"/>
    </row>
    <row r="207" spans="1:22" ht="12.75" customHeight="1">
      <c r="A207" s="22" t="s">
        <v>737</v>
      </c>
      <c r="B207" s="4" t="s">
        <v>738</v>
      </c>
      <c r="C207" s="59" t="s">
        <v>739</v>
      </c>
      <c r="D207" s="4" t="s">
        <v>740</v>
      </c>
      <c r="E207" s="4" t="s">
        <v>80</v>
      </c>
      <c r="F207" s="4" t="s">
        <v>253</v>
      </c>
      <c r="G207" s="5" t="s">
        <v>81</v>
      </c>
      <c r="H207" s="11" t="s">
        <v>741</v>
      </c>
      <c r="I207" s="5" t="s">
        <v>33</v>
      </c>
      <c r="K207" s="53" t="s">
        <v>742</v>
      </c>
      <c r="L207" s="4" t="s">
        <v>1586</v>
      </c>
      <c r="M207" s="4" t="s">
        <v>135</v>
      </c>
      <c r="N207" s="10" t="s">
        <v>136</v>
      </c>
      <c r="O207" s="4" t="s">
        <v>137</v>
      </c>
      <c r="P207" s="11" t="s">
        <v>35</v>
      </c>
      <c r="R207" s="22">
        <v>2595</v>
      </c>
    </row>
    <row r="208" spans="1:22" ht="12.75" customHeight="1">
      <c r="A208" s="22" t="s">
        <v>746</v>
      </c>
      <c r="B208" s="4" t="s">
        <v>738</v>
      </c>
      <c r="C208" s="59" t="s">
        <v>739</v>
      </c>
      <c r="D208" s="4" t="s">
        <v>740</v>
      </c>
      <c r="E208" s="4" t="s">
        <v>60</v>
      </c>
      <c r="F208" s="4" t="s">
        <v>253</v>
      </c>
      <c r="G208" s="5" t="s">
        <v>61</v>
      </c>
      <c r="H208" s="11" t="s">
        <v>741</v>
      </c>
      <c r="I208" s="5" t="s">
        <v>33</v>
      </c>
      <c r="K208" s="53" t="s">
        <v>742</v>
      </c>
      <c r="L208" s="4" t="s">
        <v>1586</v>
      </c>
      <c r="M208" s="4" t="s">
        <v>135</v>
      </c>
      <c r="N208" s="10" t="s">
        <v>136</v>
      </c>
      <c r="O208" s="4" t="s">
        <v>137</v>
      </c>
      <c r="P208" s="11" t="s">
        <v>35</v>
      </c>
      <c r="R208" s="22">
        <v>2596</v>
      </c>
    </row>
    <row r="209" spans="1:18" ht="12.75" customHeight="1">
      <c r="A209" s="22" t="s">
        <v>747</v>
      </c>
      <c r="B209" s="4" t="s">
        <v>738</v>
      </c>
      <c r="C209" s="59" t="s">
        <v>739</v>
      </c>
      <c r="D209" s="4" t="s">
        <v>740</v>
      </c>
      <c r="E209" s="5" t="s">
        <v>347</v>
      </c>
      <c r="F209" s="4" t="s">
        <v>253</v>
      </c>
      <c r="G209" s="5" t="s">
        <v>61</v>
      </c>
      <c r="H209" s="11" t="s">
        <v>741</v>
      </c>
      <c r="I209" s="5" t="s">
        <v>33</v>
      </c>
      <c r="K209" s="53" t="s">
        <v>742</v>
      </c>
      <c r="L209" s="4" t="s">
        <v>1586</v>
      </c>
      <c r="M209" s="4" t="s">
        <v>135</v>
      </c>
      <c r="N209" s="10" t="s">
        <v>136</v>
      </c>
      <c r="O209" s="4" t="s">
        <v>137</v>
      </c>
      <c r="P209" s="11" t="s">
        <v>35</v>
      </c>
      <c r="R209" s="22">
        <v>2597</v>
      </c>
    </row>
    <row r="210" spans="1:18" ht="12.75" customHeight="1">
      <c r="A210" s="22" t="s">
        <v>748</v>
      </c>
      <c r="B210" s="4" t="s">
        <v>738</v>
      </c>
      <c r="C210" s="59" t="s">
        <v>739</v>
      </c>
      <c r="D210" s="4" t="s">
        <v>740</v>
      </c>
      <c r="E210" s="5" t="s">
        <v>68</v>
      </c>
      <c r="F210" s="4" t="s">
        <v>253</v>
      </c>
      <c r="G210" s="4" t="s">
        <v>70</v>
      </c>
      <c r="H210" s="11" t="s">
        <v>741</v>
      </c>
      <c r="I210" s="5" t="s">
        <v>33</v>
      </c>
      <c r="K210" s="53" t="s">
        <v>742</v>
      </c>
      <c r="L210" s="4" t="s">
        <v>1586</v>
      </c>
      <c r="M210" s="4" t="s">
        <v>135</v>
      </c>
      <c r="N210" s="10" t="s">
        <v>136</v>
      </c>
      <c r="O210" s="4" t="s">
        <v>137</v>
      </c>
      <c r="P210" s="11" t="s">
        <v>35</v>
      </c>
      <c r="R210" s="22">
        <v>2598</v>
      </c>
    </row>
    <row r="211" spans="1:18" ht="12.75" customHeight="1">
      <c r="A211" s="22" t="s">
        <v>749</v>
      </c>
      <c r="B211" s="4" t="s">
        <v>750</v>
      </c>
      <c r="C211" s="59" t="s">
        <v>751</v>
      </c>
      <c r="D211" s="4" t="s">
        <v>752</v>
      </c>
      <c r="E211" s="4" t="s">
        <v>60</v>
      </c>
      <c r="F211" s="4" t="s">
        <v>253</v>
      </c>
      <c r="G211" s="5" t="s">
        <v>61</v>
      </c>
      <c r="H211" s="11" t="s">
        <v>741</v>
      </c>
      <c r="I211" s="5" t="s">
        <v>33</v>
      </c>
      <c r="K211" s="48" t="s">
        <v>753</v>
      </c>
      <c r="L211" s="4" t="s">
        <v>1586</v>
      </c>
      <c r="M211" s="4" t="s">
        <v>135</v>
      </c>
      <c r="N211" s="10" t="s">
        <v>136</v>
      </c>
      <c r="O211" s="4" t="s">
        <v>137</v>
      </c>
      <c r="P211" s="11" t="s">
        <v>35</v>
      </c>
      <c r="R211" s="22">
        <v>2620</v>
      </c>
    </row>
    <row r="212" spans="1:18" ht="12.75" customHeight="1">
      <c r="A212" s="22" t="s">
        <v>757</v>
      </c>
      <c r="B212" s="4" t="s">
        <v>750</v>
      </c>
      <c r="C212" s="59" t="s">
        <v>751</v>
      </c>
      <c r="D212" s="4" t="s">
        <v>752</v>
      </c>
      <c r="E212" s="5" t="s">
        <v>68</v>
      </c>
      <c r="F212" s="4" t="s">
        <v>253</v>
      </c>
      <c r="G212" s="4" t="s">
        <v>70</v>
      </c>
      <c r="H212" s="11" t="s">
        <v>741</v>
      </c>
      <c r="I212" s="5" t="s">
        <v>33</v>
      </c>
      <c r="K212" s="48" t="s">
        <v>753</v>
      </c>
      <c r="L212" s="4" t="s">
        <v>1586</v>
      </c>
      <c r="M212" s="4" t="s">
        <v>135</v>
      </c>
      <c r="N212" s="10" t="s">
        <v>136</v>
      </c>
      <c r="O212" s="4" t="s">
        <v>137</v>
      </c>
      <c r="P212" s="11" t="s">
        <v>35</v>
      </c>
      <c r="R212" s="22">
        <v>2621</v>
      </c>
    </row>
    <row r="213" spans="1:18" ht="12.75" customHeight="1">
      <c r="A213" s="22" t="s">
        <v>758</v>
      </c>
      <c r="B213" s="4" t="s">
        <v>750</v>
      </c>
      <c r="C213" s="59" t="s">
        <v>751</v>
      </c>
      <c r="D213" s="4" t="s">
        <v>752</v>
      </c>
      <c r="E213" s="5" t="s">
        <v>347</v>
      </c>
      <c r="F213" s="4" t="s">
        <v>253</v>
      </c>
      <c r="G213" s="5" t="s">
        <v>61</v>
      </c>
      <c r="H213" s="11" t="s">
        <v>741</v>
      </c>
      <c r="I213" s="5" t="s">
        <v>33</v>
      </c>
      <c r="K213" s="48" t="s">
        <v>753</v>
      </c>
      <c r="L213" s="4" t="s">
        <v>1586</v>
      </c>
      <c r="M213" s="4" t="s">
        <v>135</v>
      </c>
      <c r="N213" s="10" t="s">
        <v>136</v>
      </c>
      <c r="O213" s="4" t="s">
        <v>137</v>
      </c>
      <c r="P213" s="11" t="s">
        <v>35</v>
      </c>
      <c r="R213" s="22">
        <v>2622</v>
      </c>
    </row>
    <row r="214" spans="1:18" ht="12.75" customHeight="1">
      <c r="A214" s="22" t="s">
        <v>759</v>
      </c>
      <c r="B214" s="4" t="s">
        <v>760</v>
      </c>
      <c r="C214" s="59" t="s">
        <v>761</v>
      </c>
      <c r="D214" s="4" t="s">
        <v>762</v>
      </c>
      <c r="E214" s="5" t="s">
        <v>68</v>
      </c>
      <c r="F214" s="4" t="s">
        <v>253</v>
      </c>
      <c r="G214" s="4" t="s">
        <v>70</v>
      </c>
      <c r="H214" s="11" t="s">
        <v>741</v>
      </c>
      <c r="I214" s="5" t="s">
        <v>33</v>
      </c>
      <c r="K214" s="48" t="s">
        <v>763</v>
      </c>
      <c r="L214" s="4" t="s">
        <v>1586</v>
      </c>
      <c r="M214" s="4" t="s">
        <v>135</v>
      </c>
      <c r="N214" s="4" t="s">
        <v>201</v>
      </c>
      <c r="O214" s="4" t="s">
        <v>256</v>
      </c>
      <c r="P214" s="11" t="s">
        <v>35</v>
      </c>
      <c r="R214" s="22">
        <v>2640</v>
      </c>
    </row>
    <row r="215" spans="1:18" ht="12.75" customHeight="1">
      <c r="A215" s="22" t="s">
        <v>767</v>
      </c>
      <c r="B215" s="4" t="s">
        <v>760</v>
      </c>
      <c r="C215" s="59" t="s">
        <v>761</v>
      </c>
      <c r="D215" s="4" t="s">
        <v>762</v>
      </c>
      <c r="E215" s="4" t="s">
        <v>80</v>
      </c>
      <c r="F215" s="4" t="s">
        <v>253</v>
      </c>
      <c r="G215" s="5" t="s">
        <v>81</v>
      </c>
      <c r="H215" s="11" t="s">
        <v>741</v>
      </c>
      <c r="I215" s="5" t="s">
        <v>33</v>
      </c>
      <c r="K215" s="48" t="s">
        <v>763</v>
      </c>
      <c r="L215" s="4" t="s">
        <v>1586</v>
      </c>
      <c r="M215" s="4" t="s">
        <v>135</v>
      </c>
      <c r="N215" s="4" t="s">
        <v>201</v>
      </c>
      <c r="O215" s="4" t="s">
        <v>256</v>
      </c>
      <c r="P215" s="11" t="s">
        <v>35</v>
      </c>
      <c r="R215" s="22">
        <v>2641</v>
      </c>
    </row>
    <row r="216" spans="1:18" ht="12.75" customHeight="1">
      <c r="A216" s="22" t="s">
        <v>768</v>
      </c>
      <c r="B216" s="4" t="s">
        <v>760</v>
      </c>
      <c r="C216" s="59" t="s">
        <v>761</v>
      </c>
      <c r="D216" s="4" t="s">
        <v>762</v>
      </c>
      <c r="E216" s="4" t="s">
        <v>60</v>
      </c>
      <c r="F216" s="4" t="s">
        <v>253</v>
      </c>
      <c r="G216" s="5" t="s">
        <v>61</v>
      </c>
      <c r="H216" s="11" t="s">
        <v>741</v>
      </c>
      <c r="I216" s="5" t="s">
        <v>33</v>
      </c>
      <c r="K216" s="48" t="s">
        <v>763</v>
      </c>
      <c r="L216" s="4" t="s">
        <v>1586</v>
      </c>
      <c r="M216" s="4" t="s">
        <v>135</v>
      </c>
      <c r="N216" s="4" t="s">
        <v>201</v>
      </c>
      <c r="O216" s="4" t="s">
        <v>256</v>
      </c>
      <c r="P216" s="11" t="s">
        <v>35</v>
      </c>
      <c r="R216" s="22">
        <v>2642</v>
      </c>
    </row>
    <row r="217" spans="1:18" ht="12.75" customHeight="1">
      <c r="A217" s="22" t="s">
        <v>769</v>
      </c>
      <c r="B217" s="4" t="s">
        <v>760</v>
      </c>
      <c r="C217" s="59" t="s">
        <v>761</v>
      </c>
      <c r="D217" s="4" t="s">
        <v>762</v>
      </c>
      <c r="E217" s="5" t="s">
        <v>347</v>
      </c>
      <c r="F217" s="4" t="s">
        <v>253</v>
      </c>
      <c r="G217" s="5" t="s">
        <v>61</v>
      </c>
      <c r="H217" s="11" t="s">
        <v>741</v>
      </c>
      <c r="I217" s="5" t="s">
        <v>33</v>
      </c>
      <c r="K217" s="48" t="s">
        <v>763</v>
      </c>
      <c r="L217" s="4" t="s">
        <v>1586</v>
      </c>
      <c r="M217" s="4" t="s">
        <v>135</v>
      </c>
      <c r="N217" s="4" t="s">
        <v>201</v>
      </c>
      <c r="O217" s="4" t="s">
        <v>256</v>
      </c>
      <c r="P217" s="11" t="s">
        <v>35</v>
      </c>
      <c r="R217" s="22">
        <v>2643</v>
      </c>
    </row>
    <row r="218" spans="1:18" ht="12.75" customHeight="1">
      <c r="A218" s="22" t="s">
        <v>770</v>
      </c>
      <c r="B218" s="4" t="s">
        <v>760</v>
      </c>
      <c r="C218" s="59" t="s">
        <v>761</v>
      </c>
      <c r="D218" s="4" t="s">
        <v>762</v>
      </c>
      <c r="E218" s="4" t="s">
        <v>48</v>
      </c>
      <c r="F218" s="4" t="s">
        <v>253</v>
      </c>
      <c r="G218" s="5" t="s">
        <v>50</v>
      </c>
      <c r="H218" s="11" t="s">
        <v>741</v>
      </c>
      <c r="I218" s="5" t="s">
        <v>33</v>
      </c>
      <c r="K218" s="48" t="s">
        <v>763</v>
      </c>
      <c r="L218" s="4" t="s">
        <v>1586</v>
      </c>
      <c r="M218" s="4" t="s">
        <v>135</v>
      </c>
      <c r="N218" s="4" t="s">
        <v>201</v>
      </c>
      <c r="O218" s="4" t="s">
        <v>256</v>
      </c>
      <c r="P218" s="11" t="s">
        <v>35</v>
      </c>
      <c r="R218" s="22">
        <v>2646</v>
      </c>
    </row>
    <row r="219" spans="1:18" ht="12.75" customHeight="1">
      <c r="A219" s="22" t="s">
        <v>771</v>
      </c>
      <c r="B219" s="4" t="s">
        <v>772</v>
      </c>
      <c r="C219" s="11" t="str">
        <f>F219&amp;" - "&amp;D219&amp;" - "&amp;E219</f>
        <v>UDS - Servicios Profesionales - Fixed</v>
      </c>
      <c r="D219" s="4" t="s">
        <v>773</v>
      </c>
      <c r="E219" s="4" t="s">
        <v>80</v>
      </c>
      <c r="F219" s="5" t="s">
        <v>774</v>
      </c>
      <c r="G219" s="5" t="s">
        <v>81</v>
      </c>
      <c r="H219" s="11" t="s">
        <v>775</v>
      </c>
      <c r="I219" s="5" t="s">
        <v>33</v>
      </c>
      <c r="J219" s="43" t="s">
        <v>776</v>
      </c>
      <c r="K219" s="43" t="s">
        <v>342</v>
      </c>
      <c r="L219" s="4" t="s">
        <v>315</v>
      </c>
      <c r="M219" s="4" t="s">
        <v>213</v>
      </c>
      <c r="N219" s="4" t="s">
        <v>55</v>
      </c>
      <c r="O219" s="4" t="s">
        <v>777</v>
      </c>
      <c r="P219" s="11" t="s">
        <v>35</v>
      </c>
      <c r="R219" s="22">
        <v>2638</v>
      </c>
    </row>
    <row r="220" spans="1:18" ht="12.75" customHeight="1">
      <c r="A220" s="22" t="s">
        <v>782</v>
      </c>
      <c r="B220" s="4" t="s">
        <v>783</v>
      </c>
      <c r="C220" s="4" t="s">
        <v>784</v>
      </c>
      <c r="D220" s="4" t="s">
        <v>785</v>
      </c>
      <c r="E220" s="5" t="s">
        <v>68</v>
      </c>
      <c r="F220" s="4" t="s">
        <v>192</v>
      </c>
      <c r="G220" s="4" t="s">
        <v>70</v>
      </c>
      <c r="H220" s="12" t="s">
        <v>786</v>
      </c>
      <c r="I220" s="5" t="s">
        <v>33</v>
      </c>
      <c r="L220" s="4" t="s">
        <v>53</v>
      </c>
      <c r="M220" s="4" t="s">
        <v>213</v>
      </c>
      <c r="N220" s="10" t="s">
        <v>136</v>
      </c>
      <c r="O220" s="4" t="s">
        <v>137</v>
      </c>
      <c r="P220" s="11" t="s">
        <v>35</v>
      </c>
      <c r="R220" s="22">
        <v>2632</v>
      </c>
    </row>
    <row r="221" spans="1:18" ht="25.5" customHeight="1">
      <c r="A221" s="22" t="s">
        <v>787</v>
      </c>
      <c r="B221" s="4" t="s">
        <v>783</v>
      </c>
      <c r="C221" s="4" t="s">
        <v>788</v>
      </c>
      <c r="D221" s="4" t="s">
        <v>785</v>
      </c>
      <c r="E221" s="4" t="s">
        <v>60</v>
      </c>
      <c r="F221" s="4" t="s">
        <v>192</v>
      </c>
      <c r="G221" s="5" t="s">
        <v>61</v>
      </c>
      <c r="H221" s="12" t="s">
        <v>786</v>
      </c>
      <c r="I221" s="5" t="s">
        <v>33</v>
      </c>
      <c r="J221" s="43" t="s">
        <v>289</v>
      </c>
      <c r="K221" s="43" t="s">
        <v>789</v>
      </c>
      <c r="L221" s="4" t="s">
        <v>53</v>
      </c>
      <c r="M221" s="4" t="s">
        <v>213</v>
      </c>
      <c r="N221" s="10" t="s">
        <v>136</v>
      </c>
      <c r="O221" s="4" t="s">
        <v>137</v>
      </c>
      <c r="P221" s="11" t="s">
        <v>35</v>
      </c>
      <c r="R221" s="22">
        <v>2634</v>
      </c>
    </row>
    <row r="222" spans="1:18" ht="12.75" customHeight="1">
      <c r="A222" s="22" t="s">
        <v>790</v>
      </c>
      <c r="B222" s="4" t="s">
        <v>783</v>
      </c>
      <c r="C222" s="4" t="s">
        <v>791</v>
      </c>
      <c r="D222" s="4" t="s">
        <v>785</v>
      </c>
      <c r="E222" s="5" t="s">
        <v>347</v>
      </c>
      <c r="F222" s="4" t="s">
        <v>192</v>
      </c>
      <c r="G222" s="5" t="s">
        <v>61</v>
      </c>
      <c r="H222" s="12" t="s">
        <v>786</v>
      </c>
      <c r="I222" s="5" t="s">
        <v>33</v>
      </c>
      <c r="L222" s="4" t="s">
        <v>53</v>
      </c>
      <c r="M222" s="4" t="s">
        <v>213</v>
      </c>
      <c r="N222" s="10" t="s">
        <v>136</v>
      </c>
      <c r="O222" s="4" t="s">
        <v>137</v>
      </c>
      <c r="P222" s="11" t="s">
        <v>35</v>
      </c>
      <c r="R222" s="22">
        <v>2635</v>
      </c>
    </row>
    <row r="223" spans="1:18" ht="12.75" customHeight="1">
      <c r="A223" s="22" t="s">
        <v>792</v>
      </c>
      <c r="B223" s="4" t="s">
        <v>783</v>
      </c>
      <c r="C223" s="4" t="s">
        <v>793</v>
      </c>
      <c r="D223" s="4" t="s">
        <v>785</v>
      </c>
      <c r="E223" s="4" t="s">
        <v>80</v>
      </c>
      <c r="F223" s="4" t="s">
        <v>192</v>
      </c>
      <c r="G223" s="5" t="s">
        <v>81</v>
      </c>
      <c r="H223" s="12" t="s">
        <v>786</v>
      </c>
      <c r="I223" s="5" t="s">
        <v>33</v>
      </c>
      <c r="L223" s="4" t="s">
        <v>53</v>
      </c>
      <c r="M223" s="4" t="s">
        <v>213</v>
      </c>
      <c r="N223" s="10" t="s">
        <v>136</v>
      </c>
      <c r="O223" s="4" t="s">
        <v>137</v>
      </c>
      <c r="P223" s="11" t="s">
        <v>35</v>
      </c>
      <c r="R223" s="22">
        <v>2633</v>
      </c>
    </row>
    <row r="224" spans="1:18" ht="12.75" customHeight="1">
      <c r="A224" s="22" t="s">
        <v>794</v>
      </c>
      <c r="B224" s="4" t="s">
        <v>795</v>
      </c>
      <c r="C224" s="4" t="s">
        <v>796</v>
      </c>
      <c r="D224" s="4" t="s">
        <v>797</v>
      </c>
      <c r="E224" s="5" t="s">
        <v>68</v>
      </c>
      <c r="F224" s="4" t="s">
        <v>340</v>
      </c>
      <c r="G224" s="4" t="s">
        <v>70</v>
      </c>
      <c r="H224" s="11" t="str">
        <f>_xlfn.IFNA(VLOOKUP(F224,clientes!A:B,2,FALSE()),"--")</f>
        <v>Empresa De Transporte Masivo Del Valle De Aburrá Limitada</v>
      </c>
      <c r="I224" s="5" t="s">
        <v>33</v>
      </c>
      <c r="J224" s="43" t="s">
        <v>798</v>
      </c>
      <c r="K224" s="43" t="s">
        <v>799</v>
      </c>
      <c r="L224" s="10" t="s">
        <v>124</v>
      </c>
      <c r="M224" s="4" t="s">
        <v>157</v>
      </c>
      <c r="N224" s="10" t="s">
        <v>75</v>
      </c>
      <c r="P224" s="11" t="s">
        <v>35</v>
      </c>
      <c r="R224" s="22">
        <v>2655</v>
      </c>
    </row>
    <row r="225" spans="1:19" ht="12.75" customHeight="1">
      <c r="A225" s="22" t="s">
        <v>802</v>
      </c>
      <c r="B225" s="4" t="s">
        <v>795</v>
      </c>
      <c r="C225" s="4" t="s">
        <v>803</v>
      </c>
      <c r="D225" s="4" t="s">
        <v>797</v>
      </c>
      <c r="E225" s="4" t="s">
        <v>80</v>
      </c>
      <c r="F225" s="4" t="s">
        <v>340</v>
      </c>
      <c r="G225" s="5" t="s">
        <v>81</v>
      </c>
      <c r="H225" s="11" t="str">
        <f>_xlfn.IFNA(VLOOKUP(F225,clientes!A:B,2,FALSE()),"--")</f>
        <v>Empresa De Transporte Masivo Del Valle De Aburrá Limitada</v>
      </c>
      <c r="I225" s="5" t="s">
        <v>33</v>
      </c>
      <c r="J225" s="43" t="s">
        <v>798</v>
      </c>
      <c r="K225" s="43" t="s">
        <v>799</v>
      </c>
      <c r="L225" s="10" t="s">
        <v>124</v>
      </c>
      <c r="M225" s="4" t="s">
        <v>157</v>
      </c>
      <c r="N225" s="10" t="s">
        <v>75</v>
      </c>
      <c r="P225" s="11" t="s">
        <v>35</v>
      </c>
      <c r="R225" s="22">
        <v>2656</v>
      </c>
    </row>
    <row r="226" spans="1:19" ht="12.75" customHeight="1">
      <c r="A226" s="22" t="s">
        <v>805</v>
      </c>
      <c r="B226" s="4" t="s">
        <v>795</v>
      </c>
      <c r="C226" s="4" t="s">
        <v>806</v>
      </c>
      <c r="D226" s="4" t="s">
        <v>797</v>
      </c>
      <c r="E226" s="4" t="s">
        <v>60</v>
      </c>
      <c r="F226" s="4" t="s">
        <v>340</v>
      </c>
      <c r="G226" s="5" t="s">
        <v>61</v>
      </c>
      <c r="H226" s="11" t="str">
        <f>_xlfn.IFNA(VLOOKUP(F226,clientes!A:B,2,FALSE()),"--")</f>
        <v>Empresa De Transporte Masivo Del Valle De Aburrá Limitada</v>
      </c>
      <c r="I226" s="5" t="s">
        <v>33</v>
      </c>
      <c r="J226" s="43" t="s">
        <v>798</v>
      </c>
      <c r="K226" s="43" t="s">
        <v>799</v>
      </c>
      <c r="L226" s="10" t="s">
        <v>124</v>
      </c>
      <c r="M226" s="4" t="s">
        <v>157</v>
      </c>
      <c r="N226" s="10" t="s">
        <v>75</v>
      </c>
      <c r="P226" s="11" t="s">
        <v>35</v>
      </c>
      <c r="R226" s="22">
        <v>2657</v>
      </c>
    </row>
    <row r="227" spans="1:19" ht="12.75" customHeight="1">
      <c r="A227" s="22" t="s">
        <v>807</v>
      </c>
      <c r="B227" s="4" t="s">
        <v>808</v>
      </c>
      <c r="C227" s="4" t="s">
        <v>809</v>
      </c>
      <c r="D227" s="4" t="s">
        <v>810</v>
      </c>
      <c r="E227" s="5" t="s">
        <v>68</v>
      </c>
      <c r="F227" s="4" t="s">
        <v>198</v>
      </c>
      <c r="G227" s="4" t="s">
        <v>70</v>
      </c>
      <c r="H227" s="12" t="s">
        <v>811</v>
      </c>
      <c r="I227" s="5" t="s">
        <v>33</v>
      </c>
      <c r="J227" s="43" t="s">
        <v>812</v>
      </c>
      <c r="K227" s="43" t="s">
        <v>813</v>
      </c>
      <c r="L227" s="4" t="s">
        <v>134</v>
      </c>
      <c r="M227" s="4" t="s">
        <v>74</v>
      </c>
      <c r="N227" s="4" t="s">
        <v>201</v>
      </c>
      <c r="O227" s="4" t="s">
        <v>202</v>
      </c>
      <c r="P227" s="11" t="s">
        <v>35</v>
      </c>
      <c r="R227" s="22">
        <v>2678</v>
      </c>
    </row>
    <row r="228" spans="1:19" ht="12.75" customHeight="1">
      <c r="A228" s="22" t="s">
        <v>816</v>
      </c>
      <c r="B228" s="4" t="s">
        <v>808</v>
      </c>
      <c r="C228" s="4" t="s">
        <v>817</v>
      </c>
      <c r="D228" s="4" t="s">
        <v>810</v>
      </c>
      <c r="E228" s="5" t="s">
        <v>80</v>
      </c>
      <c r="F228" s="4" t="s">
        <v>198</v>
      </c>
      <c r="G228" s="5" t="s">
        <v>81</v>
      </c>
      <c r="H228" s="12" t="s">
        <v>811</v>
      </c>
      <c r="I228" s="5" t="s">
        <v>33</v>
      </c>
      <c r="J228" s="43" t="s">
        <v>812</v>
      </c>
      <c r="K228" s="43" t="s">
        <v>813</v>
      </c>
      <c r="L228" s="4" t="s">
        <v>134</v>
      </c>
      <c r="M228" s="4" t="s">
        <v>74</v>
      </c>
      <c r="N228" s="4" t="s">
        <v>201</v>
      </c>
      <c r="O228" s="4" t="s">
        <v>202</v>
      </c>
      <c r="P228" s="11" t="s">
        <v>35</v>
      </c>
      <c r="R228" s="22">
        <v>2679</v>
      </c>
    </row>
    <row r="229" spans="1:19" ht="12.75" customHeight="1">
      <c r="A229" s="22" t="s">
        <v>818</v>
      </c>
      <c r="B229" s="4" t="s">
        <v>808</v>
      </c>
      <c r="C229" s="4" t="s">
        <v>819</v>
      </c>
      <c r="D229" s="4" t="s">
        <v>810</v>
      </c>
      <c r="E229" s="5" t="s">
        <v>60</v>
      </c>
      <c r="F229" s="4" t="s">
        <v>198</v>
      </c>
      <c r="G229" s="5" t="s">
        <v>61</v>
      </c>
      <c r="H229" s="12" t="s">
        <v>811</v>
      </c>
      <c r="I229" s="5" t="s">
        <v>33</v>
      </c>
      <c r="J229" s="43" t="s">
        <v>812</v>
      </c>
      <c r="K229" s="43" t="s">
        <v>813</v>
      </c>
      <c r="L229" s="4" t="s">
        <v>134</v>
      </c>
      <c r="M229" s="4" t="s">
        <v>74</v>
      </c>
      <c r="N229" s="4" t="s">
        <v>201</v>
      </c>
      <c r="O229" s="4" t="s">
        <v>202</v>
      </c>
      <c r="P229" s="11" t="s">
        <v>35</v>
      </c>
      <c r="R229" s="22">
        <v>2680</v>
      </c>
    </row>
    <row r="230" spans="1:19" ht="12.75" customHeight="1">
      <c r="A230" s="22" t="s">
        <v>820</v>
      </c>
      <c r="B230" s="4" t="s">
        <v>808</v>
      </c>
      <c r="C230" s="4" t="s">
        <v>821</v>
      </c>
      <c r="D230" s="4" t="s">
        <v>810</v>
      </c>
      <c r="E230" s="5" t="s">
        <v>48</v>
      </c>
      <c r="F230" s="4" t="s">
        <v>198</v>
      </c>
      <c r="G230" s="5" t="s">
        <v>50</v>
      </c>
      <c r="H230" s="12" t="s">
        <v>811</v>
      </c>
      <c r="I230" s="5" t="s">
        <v>33</v>
      </c>
      <c r="J230" s="43" t="s">
        <v>812</v>
      </c>
      <c r="K230" s="43" t="s">
        <v>813</v>
      </c>
      <c r="L230" s="4" t="s">
        <v>134</v>
      </c>
      <c r="M230" s="4" t="s">
        <v>74</v>
      </c>
      <c r="N230" s="4" t="s">
        <v>201</v>
      </c>
      <c r="O230" s="4" t="s">
        <v>202</v>
      </c>
      <c r="P230" s="11" t="s">
        <v>35</v>
      </c>
      <c r="R230" s="22">
        <v>2681</v>
      </c>
    </row>
    <row r="231" spans="1:19" ht="12.75" customHeight="1">
      <c r="A231" s="22" t="s">
        <v>822</v>
      </c>
      <c r="B231" s="4" t="s">
        <v>823</v>
      </c>
      <c r="C231" s="4" t="s">
        <v>824</v>
      </c>
      <c r="D231" s="4" t="s">
        <v>825</v>
      </c>
      <c r="E231" s="5" t="s">
        <v>68</v>
      </c>
      <c r="F231" s="4" t="s">
        <v>198</v>
      </c>
      <c r="G231" s="4" t="s">
        <v>70</v>
      </c>
      <c r="H231" s="12" t="s">
        <v>811</v>
      </c>
      <c r="I231" s="5" t="s">
        <v>33</v>
      </c>
      <c r="J231" s="43" t="s">
        <v>826</v>
      </c>
      <c r="K231" s="43" t="s">
        <v>827</v>
      </c>
      <c r="L231" s="4" t="s">
        <v>134</v>
      </c>
      <c r="M231" s="4" t="s">
        <v>74</v>
      </c>
      <c r="N231" s="4" t="s">
        <v>201</v>
      </c>
      <c r="O231" s="4" t="s">
        <v>202</v>
      </c>
      <c r="P231" s="11" t="s">
        <v>35</v>
      </c>
      <c r="R231" s="22">
        <v>2619</v>
      </c>
    </row>
    <row r="232" spans="1:19" ht="12.75" customHeight="1">
      <c r="A232" s="22" t="s">
        <v>831</v>
      </c>
      <c r="B232" s="4" t="s">
        <v>823</v>
      </c>
      <c r="C232" s="4" t="s">
        <v>832</v>
      </c>
      <c r="D232" s="4" t="s">
        <v>825</v>
      </c>
      <c r="E232" s="4" t="s">
        <v>80</v>
      </c>
      <c r="F232" s="4" t="s">
        <v>198</v>
      </c>
      <c r="G232" s="5" t="s">
        <v>81</v>
      </c>
      <c r="H232" s="12" t="s">
        <v>811</v>
      </c>
      <c r="I232" s="5" t="s">
        <v>33</v>
      </c>
      <c r="J232" s="43" t="s">
        <v>826</v>
      </c>
      <c r="K232" s="43" t="s">
        <v>827</v>
      </c>
      <c r="L232" s="4" t="s">
        <v>134</v>
      </c>
      <c r="M232" s="4" t="s">
        <v>74</v>
      </c>
      <c r="N232" s="4" t="s">
        <v>201</v>
      </c>
      <c r="O232" s="4" t="s">
        <v>202</v>
      </c>
      <c r="P232" s="11" t="s">
        <v>35</v>
      </c>
      <c r="R232" s="22">
        <v>2620</v>
      </c>
    </row>
    <row r="233" spans="1:19" ht="12.75" customHeight="1">
      <c r="A233" s="22" t="s">
        <v>833</v>
      </c>
      <c r="B233" s="4" t="s">
        <v>823</v>
      </c>
      <c r="C233" s="4" t="s">
        <v>834</v>
      </c>
      <c r="D233" s="4" t="s">
        <v>825</v>
      </c>
      <c r="E233" s="4" t="s">
        <v>60</v>
      </c>
      <c r="F233" s="4" t="s">
        <v>198</v>
      </c>
      <c r="G233" s="5" t="s">
        <v>61</v>
      </c>
      <c r="H233" s="12" t="s">
        <v>811</v>
      </c>
      <c r="I233" s="5" t="s">
        <v>33</v>
      </c>
      <c r="J233" s="43" t="s">
        <v>826</v>
      </c>
      <c r="K233" s="43" t="s">
        <v>827</v>
      </c>
      <c r="L233" s="4" t="s">
        <v>134</v>
      </c>
      <c r="M233" s="4" t="s">
        <v>74</v>
      </c>
      <c r="N233" s="4" t="s">
        <v>201</v>
      </c>
      <c r="O233" s="4" t="s">
        <v>202</v>
      </c>
      <c r="P233" s="11" t="s">
        <v>35</v>
      </c>
      <c r="R233" s="22">
        <v>2621</v>
      </c>
    </row>
    <row r="234" spans="1:19" ht="12.75" customHeight="1">
      <c r="A234" s="22" t="s">
        <v>835</v>
      </c>
      <c r="B234" s="4" t="s">
        <v>823</v>
      </c>
      <c r="C234" s="4" t="s">
        <v>836</v>
      </c>
      <c r="D234" s="4" t="s">
        <v>825</v>
      </c>
      <c r="E234" s="4" t="s">
        <v>48</v>
      </c>
      <c r="F234" s="4" t="s">
        <v>198</v>
      </c>
      <c r="G234" s="5" t="s">
        <v>50</v>
      </c>
      <c r="H234" s="12" t="s">
        <v>811</v>
      </c>
      <c r="I234" s="5" t="s">
        <v>33</v>
      </c>
      <c r="J234" s="43" t="s">
        <v>826</v>
      </c>
      <c r="K234" s="43" t="s">
        <v>827</v>
      </c>
      <c r="L234" s="4" t="s">
        <v>134</v>
      </c>
      <c r="M234" s="4" t="s">
        <v>74</v>
      </c>
      <c r="N234" s="4" t="s">
        <v>201</v>
      </c>
      <c r="O234" s="4" t="s">
        <v>202</v>
      </c>
      <c r="P234" s="11" t="s">
        <v>35</v>
      </c>
      <c r="R234" s="22">
        <v>2622</v>
      </c>
    </row>
    <row r="235" spans="1:19" ht="12.75" customHeight="1">
      <c r="A235" s="22" t="s">
        <v>837</v>
      </c>
      <c r="B235" s="4" t="s">
        <v>838</v>
      </c>
      <c r="C235" s="11" t="s">
        <v>839</v>
      </c>
      <c r="D235" s="4" t="s">
        <v>840</v>
      </c>
      <c r="E235" s="5" t="s">
        <v>68</v>
      </c>
      <c r="F235" s="5" t="s">
        <v>312</v>
      </c>
      <c r="G235" s="4" t="s">
        <v>70</v>
      </c>
      <c r="H235" s="11" t="s">
        <v>313</v>
      </c>
      <c r="I235" s="5" t="s">
        <v>33</v>
      </c>
      <c r="J235" s="43" t="s">
        <v>841</v>
      </c>
      <c r="K235" s="43" t="s">
        <v>683</v>
      </c>
      <c r="L235" s="4" t="s">
        <v>315</v>
      </c>
      <c r="M235" s="4" t="s">
        <v>680</v>
      </c>
      <c r="N235" s="4" t="s">
        <v>55</v>
      </c>
      <c r="P235" s="11" t="s">
        <v>35</v>
      </c>
      <c r="Q235" s="4" t="s">
        <v>842</v>
      </c>
      <c r="R235" s="22">
        <v>2693</v>
      </c>
    </row>
    <row r="236" spans="1:19" ht="12.75" customHeight="1">
      <c r="A236" s="22" t="s">
        <v>847</v>
      </c>
      <c r="B236" s="4" t="s">
        <v>838</v>
      </c>
      <c r="C236" s="11" t="s">
        <v>839</v>
      </c>
      <c r="D236" s="4" t="s">
        <v>840</v>
      </c>
      <c r="E236" s="4" t="s">
        <v>80</v>
      </c>
      <c r="F236" s="5" t="s">
        <v>312</v>
      </c>
      <c r="G236" s="5" t="s">
        <v>81</v>
      </c>
      <c r="H236" s="11" t="s">
        <v>313</v>
      </c>
      <c r="I236" s="5" t="s">
        <v>33</v>
      </c>
      <c r="J236" s="43" t="s">
        <v>841</v>
      </c>
      <c r="K236" s="43" t="s">
        <v>683</v>
      </c>
      <c r="L236" s="4" t="s">
        <v>315</v>
      </c>
      <c r="M236" s="4" t="s">
        <v>680</v>
      </c>
      <c r="N236" s="4" t="s">
        <v>55</v>
      </c>
      <c r="O236" s="4" t="s">
        <v>56</v>
      </c>
      <c r="P236" s="11" t="s">
        <v>35</v>
      </c>
      <c r="Q236" s="4" t="s">
        <v>842</v>
      </c>
      <c r="R236" s="22">
        <v>2694</v>
      </c>
    </row>
    <row r="237" spans="1:19" ht="12.75" customHeight="1">
      <c r="A237" s="22" t="s">
        <v>848</v>
      </c>
      <c r="B237" s="4" t="s">
        <v>838</v>
      </c>
      <c r="C237" s="11" t="s">
        <v>839</v>
      </c>
      <c r="D237" s="4" t="s">
        <v>840</v>
      </c>
      <c r="E237" s="4" t="s">
        <v>60</v>
      </c>
      <c r="F237" s="5" t="s">
        <v>312</v>
      </c>
      <c r="G237" s="5" t="s">
        <v>61</v>
      </c>
      <c r="H237" s="11" t="s">
        <v>313</v>
      </c>
      <c r="I237" s="5" t="s">
        <v>33</v>
      </c>
      <c r="J237" s="43" t="s">
        <v>841</v>
      </c>
      <c r="K237" s="43" t="s">
        <v>683</v>
      </c>
      <c r="L237" s="4" t="s">
        <v>315</v>
      </c>
      <c r="M237" s="4" t="s">
        <v>680</v>
      </c>
      <c r="N237" s="4" t="s">
        <v>55</v>
      </c>
      <c r="O237" s="4" t="s">
        <v>56</v>
      </c>
      <c r="P237" s="11" t="s">
        <v>35</v>
      </c>
      <c r="Q237" s="4" t="s">
        <v>842</v>
      </c>
      <c r="R237" s="22">
        <v>2695</v>
      </c>
    </row>
    <row r="238" spans="1:19" ht="12.75" customHeight="1">
      <c r="A238" s="22" t="s">
        <v>849</v>
      </c>
      <c r="B238" s="4" t="s">
        <v>850</v>
      </c>
      <c r="C238" s="4" t="s">
        <v>851</v>
      </c>
      <c r="D238" s="5" t="s">
        <v>852</v>
      </c>
      <c r="E238" s="5" t="s">
        <v>68</v>
      </c>
      <c r="F238" s="5" t="s">
        <v>104</v>
      </c>
      <c r="G238" s="4" t="s">
        <v>70</v>
      </c>
      <c r="H238" s="11" t="str">
        <f>_xlfn.IFNA(VLOOKUP(F238,clientes!A:B,2,FALSE()),"--")</f>
        <v>Fiduagraria</v>
      </c>
      <c r="I238" s="5" t="s">
        <v>33</v>
      </c>
      <c r="J238" s="12" t="s">
        <v>111</v>
      </c>
      <c r="K238" s="48" t="s">
        <v>853</v>
      </c>
      <c r="L238" s="10" t="s">
        <v>53</v>
      </c>
      <c r="M238" s="10" t="s">
        <v>95</v>
      </c>
      <c r="N238" s="52" t="s">
        <v>55</v>
      </c>
      <c r="O238" s="4" t="s">
        <v>107</v>
      </c>
      <c r="P238" s="11" t="s">
        <v>35</v>
      </c>
      <c r="Q238" s="11" t="s">
        <v>36</v>
      </c>
      <c r="R238" s="22">
        <v>2702</v>
      </c>
      <c r="S238" s="10" t="s">
        <v>37</v>
      </c>
    </row>
    <row r="239" spans="1:19" ht="12.75" customHeight="1">
      <c r="A239" s="22" t="s">
        <v>854</v>
      </c>
      <c r="B239" s="4" t="s">
        <v>855</v>
      </c>
      <c r="C239" s="4" t="s">
        <v>856</v>
      </c>
      <c r="D239" s="5" t="s">
        <v>857</v>
      </c>
      <c r="E239" s="4" t="s">
        <v>80</v>
      </c>
      <c r="F239" s="5" t="s">
        <v>104</v>
      </c>
      <c r="G239" s="5" t="s">
        <v>81</v>
      </c>
      <c r="H239" s="11" t="str">
        <f>_xlfn.IFNA(VLOOKUP(F239,clientes!A:B,2,FALSE()),"--")</f>
        <v>Fiduagraria</v>
      </c>
      <c r="I239" s="5" t="s">
        <v>33</v>
      </c>
      <c r="J239" s="12" t="s">
        <v>105</v>
      </c>
      <c r="K239" s="53" t="s">
        <v>858</v>
      </c>
      <c r="L239" s="10" t="s">
        <v>53</v>
      </c>
      <c r="M239" s="10" t="s">
        <v>95</v>
      </c>
      <c r="N239" s="52" t="s">
        <v>55</v>
      </c>
      <c r="O239" s="4" t="s">
        <v>107</v>
      </c>
      <c r="P239" s="11" t="s">
        <v>35</v>
      </c>
      <c r="Q239" s="11" t="s">
        <v>57</v>
      </c>
      <c r="R239" s="22">
        <v>2698</v>
      </c>
      <c r="S239" s="10" t="s">
        <v>64</v>
      </c>
    </row>
    <row r="240" spans="1:19" ht="12.75" customHeight="1">
      <c r="A240" s="22" t="s">
        <v>859</v>
      </c>
      <c r="B240" s="4" t="s">
        <v>855</v>
      </c>
      <c r="C240" s="4" t="s">
        <v>860</v>
      </c>
      <c r="D240" s="5" t="s">
        <v>857</v>
      </c>
      <c r="E240" s="4" t="s">
        <v>60</v>
      </c>
      <c r="F240" s="5" t="s">
        <v>104</v>
      </c>
      <c r="G240" s="5" t="s">
        <v>61</v>
      </c>
      <c r="H240" s="11" t="str">
        <f>_xlfn.IFNA(VLOOKUP(F240,clientes!A:B,2,FALSE()),"--")</f>
        <v>Fiduagraria</v>
      </c>
      <c r="I240" s="5" t="s">
        <v>33</v>
      </c>
      <c r="J240" s="12" t="s">
        <v>105</v>
      </c>
      <c r="K240" s="18" t="s">
        <v>858</v>
      </c>
      <c r="L240" s="10" t="s">
        <v>53</v>
      </c>
      <c r="M240" s="10" t="s">
        <v>95</v>
      </c>
      <c r="N240" s="52" t="s">
        <v>55</v>
      </c>
      <c r="O240" s="4" t="s">
        <v>107</v>
      </c>
      <c r="P240" s="11" t="s">
        <v>35</v>
      </c>
      <c r="Q240" s="11" t="s">
        <v>57</v>
      </c>
      <c r="R240" s="22">
        <v>2699</v>
      </c>
      <c r="S240" s="10" t="s">
        <v>64</v>
      </c>
    </row>
    <row r="241" spans="1:19" ht="12.75" customHeight="1">
      <c r="A241" s="22" t="s">
        <v>861</v>
      </c>
      <c r="B241" s="4" t="s">
        <v>855</v>
      </c>
      <c r="C241" s="4" t="s">
        <v>862</v>
      </c>
      <c r="D241" s="5" t="s">
        <v>857</v>
      </c>
      <c r="E241" s="5" t="s">
        <v>68</v>
      </c>
      <c r="F241" s="5" t="s">
        <v>104</v>
      </c>
      <c r="G241" s="4" t="s">
        <v>70</v>
      </c>
      <c r="H241" s="11" t="str">
        <f>_xlfn.IFNA(VLOOKUP(F241,clientes!A:B,2,FALSE()),"--")</f>
        <v>Fiduagraria</v>
      </c>
      <c r="I241" s="5" t="s">
        <v>33</v>
      </c>
      <c r="J241" s="12" t="s">
        <v>105</v>
      </c>
      <c r="K241" s="18" t="s">
        <v>858</v>
      </c>
      <c r="L241" s="10" t="s">
        <v>53</v>
      </c>
      <c r="M241" s="10" t="s">
        <v>95</v>
      </c>
      <c r="N241" s="52" t="s">
        <v>55</v>
      </c>
      <c r="O241" s="4" t="s">
        <v>107</v>
      </c>
      <c r="P241" s="11" t="s">
        <v>35</v>
      </c>
      <c r="Q241" s="11" t="s">
        <v>57</v>
      </c>
      <c r="R241" s="22">
        <v>2700</v>
      </c>
      <c r="S241" s="10" t="s">
        <v>64</v>
      </c>
    </row>
    <row r="242" spans="1:19" ht="12.75" customHeight="1">
      <c r="A242" s="22" t="s">
        <v>863</v>
      </c>
      <c r="B242" s="4" t="s">
        <v>855</v>
      </c>
      <c r="C242" s="4" t="s">
        <v>864</v>
      </c>
      <c r="D242" s="5" t="s">
        <v>857</v>
      </c>
      <c r="E242" s="4" t="s">
        <v>48</v>
      </c>
      <c r="F242" s="5" t="s">
        <v>104</v>
      </c>
      <c r="G242" s="5" t="s">
        <v>50</v>
      </c>
      <c r="H242" s="11" t="str">
        <f>_xlfn.IFNA(VLOOKUP(F242,clientes!A:B,2,FALSE()),"--")</f>
        <v>Fiduagraria</v>
      </c>
      <c r="I242" s="5" t="s">
        <v>33</v>
      </c>
      <c r="J242" s="12" t="s">
        <v>105</v>
      </c>
      <c r="K242" s="18" t="s">
        <v>858</v>
      </c>
      <c r="L242" s="10" t="s">
        <v>53</v>
      </c>
      <c r="M242" s="10" t="s">
        <v>95</v>
      </c>
      <c r="N242" s="52" t="s">
        <v>55</v>
      </c>
      <c r="O242" s="4" t="s">
        <v>107</v>
      </c>
      <c r="P242" s="11" t="s">
        <v>35</v>
      </c>
      <c r="Q242" s="11" t="s">
        <v>57</v>
      </c>
      <c r="R242" s="22">
        <v>2701</v>
      </c>
      <c r="S242" s="10" t="s">
        <v>64</v>
      </c>
    </row>
    <row r="243" spans="1:19" ht="12.75" customHeight="1">
      <c r="A243" s="22" t="s">
        <v>865</v>
      </c>
      <c r="B243" s="4" t="s">
        <v>866</v>
      </c>
      <c r="C243" s="4" t="s">
        <v>867</v>
      </c>
      <c r="D243" s="4" t="s">
        <v>752</v>
      </c>
      <c r="E243" s="4" t="s">
        <v>80</v>
      </c>
      <c r="F243" s="4" t="s">
        <v>868</v>
      </c>
      <c r="G243" s="5" t="s">
        <v>81</v>
      </c>
      <c r="H243" s="12" t="s">
        <v>869</v>
      </c>
      <c r="I243" s="5" t="s">
        <v>33</v>
      </c>
      <c r="J243" s="12" t="s">
        <v>869</v>
      </c>
      <c r="L243" s="4" t="s">
        <v>358</v>
      </c>
      <c r="M243" s="10" t="s">
        <v>95</v>
      </c>
      <c r="N243" s="52" t="s">
        <v>55</v>
      </c>
      <c r="O243" s="4" t="s">
        <v>107</v>
      </c>
      <c r="P243" s="11" t="s">
        <v>35</v>
      </c>
    </row>
    <row r="244" spans="1:19" ht="12.75" customHeight="1">
      <c r="A244" s="22" t="s">
        <v>873</v>
      </c>
      <c r="B244" s="4" t="s">
        <v>866</v>
      </c>
      <c r="C244" s="4" t="s">
        <v>874</v>
      </c>
      <c r="D244" s="4" t="s">
        <v>752</v>
      </c>
      <c r="E244" s="4" t="s">
        <v>60</v>
      </c>
      <c r="F244" s="4" t="s">
        <v>868</v>
      </c>
      <c r="G244" s="5" t="s">
        <v>61</v>
      </c>
      <c r="H244" s="12" t="s">
        <v>869</v>
      </c>
      <c r="I244" s="5" t="s">
        <v>33</v>
      </c>
      <c r="J244" s="12" t="s">
        <v>869</v>
      </c>
      <c r="L244" s="4" t="s">
        <v>358</v>
      </c>
      <c r="M244" s="10" t="s">
        <v>95</v>
      </c>
      <c r="N244" s="52" t="s">
        <v>55</v>
      </c>
      <c r="O244" s="4" t="s">
        <v>107</v>
      </c>
      <c r="P244" s="11" t="s">
        <v>35</v>
      </c>
    </row>
    <row r="245" spans="1:19" ht="12.75" customHeight="1">
      <c r="A245" s="22" t="s">
        <v>875</v>
      </c>
      <c r="B245" s="4" t="s">
        <v>866</v>
      </c>
      <c r="C245" s="4" t="s">
        <v>876</v>
      </c>
      <c r="D245" s="4" t="s">
        <v>752</v>
      </c>
      <c r="E245" s="5" t="s">
        <v>68</v>
      </c>
      <c r="F245" s="4" t="s">
        <v>868</v>
      </c>
      <c r="G245" s="4" t="s">
        <v>70</v>
      </c>
      <c r="H245" s="12" t="s">
        <v>869</v>
      </c>
      <c r="I245" s="5" t="s">
        <v>33</v>
      </c>
      <c r="J245" s="12" t="s">
        <v>869</v>
      </c>
      <c r="L245" s="4" t="s">
        <v>358</v>
      </c>
      <c r="M245" s="10" t="s">
        <v>95</v>
      </c>
      <c r="N245" s="52" t="s">
        <v>55</v>
      </c>
      <c r="O245" s="4" t="s">
        <v>107</v>
      </c>
      <c r="P245" s="11" t="s">
        <v>35</v>
      </c>
    </row>
    <row r="246" spans="1:19" ht="12.75" customHeight="1">
      <c r="A246" s="22" t="s">
        <v>877</v>
      </c>
      <c r="B246" s="4" t="s">
        <v>878</v>
      </c>
      <c r="C246" s="4" t="s">
        <v>879</v>
      </c>
      <c r="D246" s="4" t="s">
        <v>880</v>
      </c>
      <c r="E246" s="4" t="s">
        <v>80</v>
      </c>
      <c r="F246" s="4" t="s">
        <v>881</v>
      </c>
      <c r="G246" s="5" t="s">
        <v>81</v>
      </c>
      <c r="H246" s="12" t="s">
        <v>882</v>
      </c>
      <c r="I246" s="5" t="s">
        <v>33</v>
      </c>
      <c r="J246" s="48" t="s">
        <v>883</v>
      </c>
      <c r="K246" s="48" t="s">
        <v>884</v>
      </c>
      <c r="L246" s="4" t="s">
        <v>156</v>
      </c>
      <c r="M246" s="10" t="s">
        <v>95</v>
      </c>
      <c r="N246" s="4" t="s">
        <v>55</v>
      </c>
      <c r="O246" s="4" t="s">
        <v>107</v>
      </c>
      <c r="P246" s="11" t="s">
        <v>35</v>
      </c>
      <c r="R246" s="22">
        <v>98717</v>
      </c>
    </row>
    <row r="247" spans="1:19" ht="12.75" customHeight="1">
      <c r="A247" s="22" t="s">
        <v>887</v>
      </c>
      <c r="B247" s="4" t="s">
        <v>878</v>
      </c>
      <c r="C247" s="4" t="s">
        <v>888</v>
      </c>
      <c r="D247" s="4" t="s">
        <v>880</v>
      </c>
      <c r="E247" s="5" t="s">
        <v>68</v>
      </c>
      <c r="F247" s="4" t="s">
        <v>881</v>
      </c>
      <c r="G247" s="4" t="s">
        <v>70</v>
      </c>
      <c r="H247" s="12" t="s">
        <v>882</v>
      </c>
      <c r="I247" s="5" t="s">
        <v>33</v>
      </c>
      <c r="J247" s="48" t="s">
        <v>883</v>
      </c>
      <c r="K247" s="48" t="s">
        <v>884</v>
      </c>
      <c r="L247" s="4" t="s">
        <v>156</v>
      </c>
      <c r="M247" s="10" t="s">
        <v>95</v>
      </c>
      <c r="N247" s="4" t="s">
        <v>55</v>
      </c>
      <c r="O247" s="4" t="s">
        <v>107</v>
      </c>
      <c r="P247" s="11" t="s">
        <v>35</v>
      </c>
      <c r="R247" s="22">
        <v>98816</v>
      </c>
    </row>
    <row r="248" spans="1:19" ht="12.75" customHeight="1">
      <c r="A248" s="22" t="s">
        <v>889</v>
      </c>
      <c r="B248" s="4" t="s">
        <v>878</v>
      </c>
      <c r="C248" s="4" t="s">
        <v>890</v>
      </c>
      <c r="D248" s="4" t="s">
        <v>880</v>
      </c>
      <c r="E248" s="4" t="s">
        <v>60</v>
      </c>
      <c r="F248" s="4" t="s">
        <v>881</v>
      </c>
      <c r="G248" s="5" t="s">
        <v>61</v>
      </c>
      <c r="H248" s="12" t="s">
        <v>882</v>
      </c>
      <c r="I248" s="5" t="s">
        <v>33</v>
      </c>
      <c r="J248" s="48" t="s">
        <v>883</v>
      </c>
      <c r="K248" s="48" t="s">
        <v>884</v>
      </c>
      <c r="L248" s="4" t="s">
        <v>156</v>
      </c>
      <c r="M248" s="10" t="s">
        <v>95</v>
      </c>
      <c r="N248" s="4" t="s">
        <v>55</v>
      </c>
      <c r="O248" s="4" t="s">
        <v>107</v>
      </c>
      <c r="P248" s="11" t="s">
        <v>35</v>
      </c>
      <c r="R248" s="22">
        <v>98817</v>
      </c>
    </row>
    <row r="249" spans="1:19" ht="12.75" customHeight="1">
      <c r="A249" s="22" t="s">
        <v>891</v>
      </c>
      <c r="B249" s="4" t="s">
        <v>878</v>
      </c>
      <c r="C249" s="4" t="s">
        <v>892</v>
      </c>
      <c r="D249" s="4" t="s">
        <v>880</v>
      </c>
      <c r="E249" s="4" t="s">
        <v>48</v>
      </c>
      <c r="F249" s="4" t="s">
        <v>881</v>
      </c>
      <c r="G249" s="5" t="s">
        <v>50</v>
      </c>
      <c r="H249" s="12" t="s">
        <v>882</v>
      </c>
      <c r="I249" s="5" t="s">
        <v>33</v>
      </c>
      <c r="J249" s="48" t="s">
        <v>883</v>
      </c>
      <c r="K249" s="48" t="s">
        <v>884</v>
      </c>
      <c r="L249" s="4" t="s">
        <v>156</v>
      </c>
      <c r="M249" s="10" t="s">
        <v>95</v>
      </c>
      <c r="N249" s="4" t="s">
        <v>55</v>
      </c>
      <c r="O249" s="4" t="s">
        <v>107</v>
      </c>
      <c r="P249" s="11" t="s">
        <v>35</v>
      </c>
      <c r="R249" s="22">
        <v>98818</v>
      </c>
    </row>
    <row r="250" spans="1:19" ht="12.75" customHeight="1">
      <c r="A250" s="22" t="s">
        <v>893</v>
      </c>
      <c r="B250" s="4" t="s">
        <v>894</v>
      </c>
      <c r="C250" s="4" t="s">
        <v>895</v>
      </c>
      <c r="D250" s="4" t="s">
        <v>896</v>
      </c>
      <c r="E250" s="4" t="s">
        <v>80</v>
      </c>
      <c r="F250" s="4" t="s">
        <v>897</v>
      </c>
      <c r="G250" s="5" t="s">
        <v>81</v>
      </c>
      <c r="H250" s="12" t="s">
        <v>898</v>
      </c>
      <c r="I250" s="5" t="s">
        <v>33</v>
      </c>
      <c r="L250" s="4" t="s">
        <v>358</v>
      </c>
      <c r="M250" s="4" t="s">
        <v>899</v>
      </c>
      <c r="N250" s="4" t="s">
        <v>55</v>
      </c>
      <c r="P250" s="11" t="s">
        <v>35</v>
      </c>
    </row>
    <row r="251" spans="1:19" ht="12.75" customHeight="1">
      <c r="A251" s="22" t="s">
        <v>902</v>
      </c>
      <c r="B251" s="4" t="s">
        <v>903</v>
      </c>
      <c r="C251" s="4" t="s">
        <v>904</v>
      </c>
      <c r="D251" s="4" t="s">
        <v>905</v>
      </c>
      <c r="E251" s="4" t="s">
        <v>80</v>
      </c>
      <c r="F251" s="4" t="s">
        <v>355</v>
      </c>
      <c r="G251" s="5" t="s">
        <v>81</v>
      </c>
      <c r="H251" s="12" t="s">
        <v>356</v>
      </c>
      <c r="I251" s="5" t="s">
        <v>33</v>
      </c>
      <c r="L251" s="4" t="s">
        <v>358</v>
      </c>
      <c r="M251" s="4" t="s">
        <v>74</v>
      </c>
      <c r="N251" s="4" t="s">
        <v>201</v>
      </c>
      <c r="O251" s="4" t="s">
        <v>906</v>
      </c>
      <c r="P251" s="11" t="s">
        <v>35</v>
      </c>
    </row>
    <row r="252" spans="1:19" ht="12.75" customHeight="1">
      <c r="A252" s="22" t="s">
        <v>910</v>
      </c>
      <c r="B252" s="4" t="s">
        <v>903</v>
      </c>
      <c r="C252" s="4" t="s">
        <v>911</v>
      </c>
      <c r="D252" s="4" t="s">
        <v>905</v>
      </c>
      <c r="E252" s="4" t="s">
        <v>48</v>
      </c>
      <c r="F252" s="4" t="s">
        <v>355</v>
      </c>
      <c r="G252" s="5" t="s">
        <v>50</v>
      </c>
      <c r="H252" s="12" t="s">
        <v>356</v>
      </c>
      <c r="I252" s="5" t="s">
        <v>33</v>
      </c>
      <c r="L252" s="4" t="s">
        <v>358</v>
      </c>
      <c r="M252" s="4" t="s">
        <v>899</v>
      </c>
      <c r="N252" s="4" t="s">
        <v>201</v>
      </c>
      <c r="O252" s="4" t="s">
        <v>906</v>
      </c>
      <c r="P252" s="11" t="s">
        <v>35</v>
      </c>
    </row>
    <row r="253" spans="1:19" ht="12.75" customHeight="1">
      <c r="A253" s="22" t="s">
        <v>912</v>
      </c>
      <c r="B253" s="4" t="s">
        <v>903</v>
      </c>
      <c r="C253" s="4" t="s">
        <v>913</v>
      </c>
      <c r="D253" s="4" t="s">
        <v>905</v>
      </c>
      <c r="E253" s="5" t="s">
        <v>68</v>
      </c>
      <c r="F253" s="4" t="s">
        <v>355</v>
      </c>
      <c r="G253" s="4" t="s">
        <v>70</v>
      </c>
      <c r="H253" s="12" t="s">
        <v>356</v>
      </c>
      <c r="I253" s="5" t="s">
        <v>33</v>
      </c>
      <c r="L253" s="4" t="s">
        <v>358</v>
      </c>
      <c r="M253" s="4" t="s">
        <v>899</v>
      </c>
      <c r="N253" s="4" t="s">
        <v>201</v>
      </c>
      <c r="O253" s="4" t="s">
        <v>906</v>
      </c>
      <c r="P253" s="11" t="s">
        <v>35</v>
      </c>
    </row>
    <row r="254" spans="1:19" ht="12.75" customHeight="1">
      <c r="A254" s="22" t="s">
        <v>914</v>
      </c>
      <c r="B254" s="4" t="s">
        <v>903</v>
      </c>
      <c r="C254" s="4" t="s">
        <v>915</v>
      </c>
      <c r="D254" s="4" t="s">
        <v>905</v>
      </c>
      <c r="E254" s="4" t="s">
        <v>60</v>
      </c>
      <c r="F254" s="4" t="s">
        <v>355</v>
      </c>
      <c r="G254" s="5" t="s">
        <v>61</v>
      </c>
      <c r="H254" s="12" t="s">
        <v>356</v>
      </c>
      <c r="I254" s="5" t="s">
        <v>33</v>
      </c>
      <c r="L254" s="4" t="s">
        <v>358</v>
      </c>
      <c r="M254" s="4" t="s">
        <v>899</v>
      </c>
      <c r="N254" s="4" t="s">
        <v>201</v>
      </c>
      <c r="O254" s="4" t="s">
        <v>906</v>
      </c>
      <c r="P254" s="11" t="s">
        <v>35</v>
      </c>
    </row>
    <row r="255" spans="1:19" ht="12.75" customHeight="1">
      <c r="A255" s="22" t="s">
        <v>916</v>
      </c>
      <c r="B255" s="4" t="s">
        <v>917</v>
      </c>
      <c r="C255" s="4" t="s">
        <v>918</v>
      </c>
      <c r="D255" s="4" t="s">
        <v>919</v>
      </c>
      <c r="E255" s="4" t="s">
        <v>60</v>
      </c>
      <c r="F255" s="4" t="s">
        <v>253</v>
      </c>
      <c r="G255" s="5" t="s">
        <v>61</v>
      </c>
      <c r="H255" s="12" t="s">
        <v>254</v>
      </c>
      <c r="I255" s="5" t="s">
        <v>33</v>
      </c>
      <c r="L255" s="4" t="s">
        <v>1586</v>
      </c>
      <c r="M255" s="4" t="s">
        <v>135</v>
      </c>
      <c r="N255" s="10" t="s">
        <v>136</v>
      </c>
      <c r="O255" s="4" t="s">
        <v>137</v>
      </c>
      <c r="P255" s="11" t="s">
        <v>35</v>
      </c>
    </row>
    <row r="256" spans="1:19" ht="16.5" customHeight="1">
      <c r="A256" s="22" t="s">
        <v>920</v>
      </c>
      <c r="B256" s="4" t="s">
        <v>917</v>
      </c>
      <c r="C256" s="12" t="s">
        <v>921</v>
      </c>
      <c r="D256" s="4" t="s">
        <v>919</v>
      </c>
      <c r="E256" s="5" t="s">
        <v>347</v>
      </c>
      <c r="F256" s="4" t="s">
        <v>253</v>
      </c>
      <c r="G256" s="5" t="s">
        <v>61</v>
      </c>
      <c r="H256" s="12" t="s">
        <v>254</v>
      </c>
      <c r="I256" s="5" t="s">
        <v>33</v>
      </c>
      <c r="L256" s="4" t="s">
        <v>1586</v>
      </c>
      <c r="M256" s="4" t="s">
        <v>135</v>
      </c>
      <c r="N256" s="10" t="s">
        <v>136</v>
      </c>
      <c r="O256" s="4" t="s">
        <v>137</v>
      </c>
      <c r="P256" s="11" t="s">
        <v>35</v>
      </c>
    </row>
    <row r="257" spans="1:21" ht="12.75" customHeight="1">
      <c r="A257" s="22" t="s">
        <v>922</v>
      </c>
      <c r="B257" s="4" t="s">
        <v>917</v>
      </c>
      <c r="C257" s="4" t="s">
        <v>923</v>
      </c>
      <c r="D257" s="4" t="s">
        <v>919</v>
      </c>
      <c r="E257" s="5" t="s">
        <v>68</v>
      </c>
      <c r="F257" s="4" t="s">
        <v>253</v>
      </c>
      <c r="G257" s="4" t="s">
        <v>70</v>
      </c>
      <c r="H257" s="12" t="s">
        <v>254</v>
      </c>
      <c r="I257" s="5" t="s">
        <v>33</v>
      </c>
      <c r="L257" s="4" t="s">
        <v>1586</v>
      </c>
      <c r="M257" s="4" t="s">
        <v>135</v>
      </c>
      <c r="N257" s="10" t="s">
        <v>136</v>
      </c>
      <c r="O257" s="4" t="s">
        <v>137</v>
      </c>
      <c r="P257" s="11" t="s">
        <v>35</v>
      </c>
    </row>
    <row r="258" spans="1:21" ht="12.75" customHeight="1">
      <c r="A258" s="22" t="s">
        <v>924</v>
      </c>
      <c r="B258" s="4" t="s">
        <v>925</v>
      </c>
      <c r="C258" s="4" t="s">
        <v>926</v>
      </c>
      <c r="D258" s="4" t="s">
        <v>927</v>
      </c>
      <c r="E258" s="4" t="s">
        <v>60</v>
      </c>
      <c r="F258" s="4" t="s">
        <v>253</v>
      </c>
      <c r="G258" s="5" t="s">
        <v>61</v>
      </c>
      <c r="H258" s="12" t="s">
        <v>254</v>
      </c>
      <c r="I258" s="5" t="s">
        <v>33</v>
      </c>
      <c r="L258" s="4" t="s">
        <v>1586</v>
      </c>
      <c r="M258" s="4" t="s">
        <v>135</v>
      </c>
      <c r="N258" s="10" t="s">
        <v>201</v>
      </c>
      <c r="O258" s="4" t="s">
        <v>256</v>
      </c>
      <c r="P258" s="11" t="s">
        <v>35</v>
      </c>
    </row>
    <row r="259" spans="1:21" ht="12.75" customHeight="1">
      <c r="A259" s="22" t="s">
        <v>928</v>
      </c>
      <c r="B259" s="4" t="s">
        <v>925</v>
      </c>
      <c r="C259" s="4" t="s">
        <v>929</v>
      </c>
      <c r="D259" s="4" t="s">
        <v>927</v>
      </c>
      <c r="E259" s="5" t="s">
        <v>68</v>
      </c>
      <c r="F259" s="4" t="s">
        <v>253</v>
      </c>
      <c r="G259" s="4" t="s">
        <v>70</v>
      </c>
      <c r="H259" s="12" t="s">
        <v>254</v>
      </c>
      <c r="I259" s="5" t="s">
        <v>33</v>
      </c>
      <c r="L259" s="4" t="s">
        <v>1586</v>
      </c>
      <c r="M259" s="4" t="s">
        <v>135</v>
      </c>
      <c r="N259" s="10" t="s">
        <v>201</v>
      </c>
      <c r="O259" s="4" t="s">
        <v>256</v>
      </c>
      <c r="P259" s="11" t="s">
        <v>35</v>
      </c>
    </row>
    <row r="260" spans="1:21" ht="12.75" customHeight="1">
      <c r="A260" s="22" t="s">
        <v>930</v>
      </c>
      <c r="B260" s="4" t="s">
        <v>925</v>
      </c>
      <c r="C260" s="4" t="s">
        <v>931</v>
      </c>
      <c r="D260" s="4" t="s">
        <v>927</v>
      </c>
      <c r="E260" s="4" t="s">
        <v>691</v>
      </c>
      <c r="F260" s="4" t="s">
        <v>253</v>
      </c>
      <c r="G260" s="5" t="s">
        <v>50</v>
      </c>
      <c r="H260" s="12" t="s">
        <v>254</v>
      </c>
      <c r="I260" s="5" t="s">
        <v>33</v>
      </c>
      <c r="L260" s="4" t="s">
        <v>134</v>
      </c>
      <c r="M260" s="4" t="s">
        <v>95</v>
      </c>
      <c r="N260" s="10" t="s">
        <v>201</v>
      </c>
      <c r="O260" s="4" t="s">
        <v>256</v>
      </c>
      <c r="P260" s="11" t="s">
        <v>35</v>
      </c>
    </row>
    <row r="261" spans="1:21" ht="12.75" customHeight="1">
      <c r="A261" s="22" t="s">
        <v>932</v>
      </c>
      <c r="B261" s="4" t="s">
        <v>933</v>
      </c>
      <c r="C261" s="4" t="s">
        <v>934</v>
      </c>
      <c r="D261" s="4" t="s">
        <v>935</v>
      </c>
      <c r="E261" s="4" t="s">
        <v>80</v>
      </c>
      <c r="F261" s="4" t="s">
        <v>168</v>
      </c>
      <c r="G261" s="5" t="s">
        <v>81</v>
      </c>
      <c r="H261" s="12" t="s">
        <v>936</v>
      </c>
      <c r="I261" s="5" t="s">
        <v>33</v>
      </c>
      <c r="L261" s="4" t="s">
        <v>53</v>
      </c>
      <c r="M261" s="4" t="s">
        <v>95</v>
      </c>
      <c r="N261" s="4" t="s">
        <v>55</v>
      </c>
      <c r="P261" s="11" t="s">
        <v>35</v>
      </c>
    </row>
    <row r="262" spans="1:21" ht="12.75" customHeight="1">
      <c r="A262" s="22" t="s">
        <v>937</v>
      </c>
      <c r="B262" s="4" t="s">
        <v>933</v>
      </c>
      <c r="C262" s="4" t="s">
        <v>938</v>
      </c>
      <c r="D262" s="4" t="s">
        <v>935</v>
      </c>
      <c r="E262" s="4" t="s">
        <v>60</v>
      </c>
      <c r="F262" s="4" t="s">
        <v>168</v>
      </c>
      <c r="G262" s="5" t="s">
        <v>61</v>
      </c>
      <c r="H262" s="12" t="s">
        <v>936</v>
      </c>
      <c r="I262" s="5" t="s">
        <v>33</v>
      </c>
      <c r="L262" s="4" t="s">
        <v>53</v>
      </c>
      <c r="M262" s="4" t="s">
        <v>95</v>
      </c>
      <c r="N262" s="4" t="s">
        <v>55</v>
      </c>
      <c r="P262" s="11" t="s">
        <v>35</v>
      </c>
    </row>
    <row r="263" spans="1:21" ht="12.75" customHeight="1">
      <c r="A263" s="22" t="s">
        <v>939</v>
      </c>
      <c r="B263" s="4" t="s">
        <v>933</v>
      </c>
      <c r="C263" s="4" t="s">
        <v>940</v>
      </c>
      <c r="D263" s="4" t="s">
        <v>935</v>
      </c>
      <c r="E263" s="5" t="s">
        <v>68</v>
      </c>
      <c r="F263" s="4" t="s">
        <v>168</v>
      </c>
      <c r="G263" s="4" t="s">
        <v>70</v>
      </c>
      <c r="H263" s="12" t="s">
        <v>941</v>
      </c>
      <c r="I263" s="5" t="s">
        <v>33</v>
      </c>
      <c r="L263" s="4" t="s">
        <v>53</v>
      </c>
      <c r="M263" s="4" t="s">
        <v>95</v>
      </c>
      <c r="N263" s="4" t="s">
        <v>55</v>
      </c>
      <c r="P263" s="11" t="s">
        <v>35</v>
      </c>
    </row>
    <row r="264" spans="1:21" ht="12.75" customHeight="1">
      <c r="A264" s="22" t="s">
        <v>942</v>
      </c>
      <c r="B264" s="4" t="s">
        <v>943</v>
      </c>
      <c r="C264" s="4" t="s">
        <v>944</v>
      </c>
      <c r="D264" s="4" t="s">
        <v>945</v>
      </c>
      <c r="E264" s="4" t="s">
        <v>60</v>
      </c>
      <c r="F264" s="4" t="s">
        <v>168</v>
      </c>
      <c r="G264" s="5" t="s">
        <v>61</v>
      </c>
      <c r="H264" s="12" t="s">
        <v>946</v>
      </c>
      <c r="I264" s="5" t="s">
        <v>33</v>
      </c>
      <c r="L264" s="4" t="s">
        <v>156</v>
      </c>
      <c r="M264" s="4" t="s">
        <v>157</v>
      </c>
      <c r="N264" s="4" t="s">
        <v>201</v>
      </c>
      <c r="P264" s="11" t="s">
        <v>35</v>
      </c>
    </row>
    <row r="265" spans="1:21" ht="12.75" customHeight="1">
      <c r="A265" s="22" t="s">
        <v>949</v>
      </c>
      <c r="B265" s="4" t="s">
        <v>943</v>
      </c>
      <c r="C265" s="4" t="s">
        <v>950</v>
      </c>
      <c r="D265" s="4" t="s">
        <v>945</v>
      </c>
      <c r="E265" s="4" t="s">
        <v>80</v>
      </c>
      <c r="F265" s="4" t="s">
        <v>168</v>
      </c>
      <c r="G265" s="5" t="s">
        <v>81</v>
      </c>
      <c r="H265" s="12" t="s">
        <v>946</v>
      </c>
      <c r="I265" s="5" t="s">
        <v>33</v>
      </c>
      <c r="L265" s="4" t="s">
        <v>156</v>
      </c>
      <c r="M265" s="4" t="s">
        <v>157</v>
      </c>
      <c r="N265" s="4" t="s">
        <v>201</v>
      </c>
      <c r="P265" s="11" t="s">
        <v>35</v>
      </c>
    </row>
    <row r="266" spans="1:21" ht="12.75" customHeight="1">
      <c r="A266" s="22" t="s">
        <v>951</v>
      </c>
      <c r="B266" s="4" t="s">
        <v>952</v>
      </c>
      <c r="C266" s="4" t="s">
        <v>953</v>
      </c>
      <c r="D266" s="4" t="s">
        <v>954</v>
      </c>
      <c r="E266" s="4" t="s">
        <v>60</v>
      </c>
      <c r="F266" s="4" t="s">
        <v>331</v>
      </c>
      <c r="G266" s="5" t="s">
        <v>61</v>
      </c>
      <c r="H266" s="11" t="str">
        <f>_xlfn.IFNA(VLOOKUP(F266,clientes!A:B,2,FALSE()),"--")</f>
        <v>Universidad de Caldas</v>
      </c>
      <c r="I266" s="5" t="s">
        <v>33</v>
      </c>
      <c r="J266" s="12" t="s">
        <v>332</v>
      </c>
      <c r="K266" s="27" t="s">
        <v>557</v>
      </c>
      <c r="L266" s="10" t="s">
        <v>53</v>
      </c>
      <c r="M266" s="14" t="s">
        <v>95</v>
      </c>
      <c r="N266" s="10" t="s">
        <v>75</v>
      </c>
      <c r="O266" s="4" t="s">
        <v>334</v>
      </c>
      <c r="P266" s="11" t="s">
        <v>35</v>
      </c>
      <c r="U266" s="4" t="s">
        <v>1587</v>
      </c>
    </row>
    <row r="267" spans="1:21" ht="12.75" customHeight="1">
      <c r="A267" s="22" t="s">
        <v>957</v>
      </c>
      <c r="B267" s="4" t="s">
        <v>958</v>
      </c>
      <c r="C267" s="4" t="s">
        <v>959</v>
      </c>
      <c r="D267" s="4" t="s">
        <v>960</v>
      </c>
      <c r="E267" s="4" t="s">
        <v>80</v>
      </c>
      <c r="F267" s="4" t="s">
        <v>253</v>
      </c>
      <c r="G267" s="4" t="s">
        <v>81</v>
      </c>
      <c r="H267" s="12" t="s">
        <v>254</v>
      </c>
      <c r="I267" s="5" t="s">
        <v>33</v>
      </c>
      <c r="L267" s="4" t="s">
        <v>201</v>
      </c>
      <c r="M267" s="4" t="s">
        <v>95</v>
      </c>
      <c r="N267" s="10" t="s">
        <v>136</v>
      </c>
      <c r="O267" s="4" t="s">
        <v>137</v>
      </c>
      <c r="P267" s="11" t="s">
        <v>35</v>
      </c>
    </row>
    <row r="268" spans="1:21" ht="12.75" customHeight="1">
      <c r="A268" s="22" t="s">
        <v>961</v>
      </c>
      <c r="B268" s="4" t="s">
        <v>958</v>
      </c>
      <c r="C268" s="4" t="s">
        <v>962</v>
      </c>
      <c r="D268" s="4" t="s">
        <v>960</v>
      </c>
      <c r="E268" s="4" t="s">
        <v>60</v>
      </c>
      <c r="F268" s="4" t="s">
        <v>253</v>
      </c>
      <c r="G268" s="4" t="s">
        <v>61</v>
      </c>
      <c r="H268" s="12" t="s">
        <v>254</v>
      </c>
      <c r="I268" s="5" t="s">
        <v>33</v>
      </c>
      <c r="L268" s="4" t="s">
        <v>201</v>
      </c>
      <c r="M268" s="4" t="s">
        <v>95</v>
      </c>
      <c r="N268" s="10" t="s">
        <v>136</v>
      </c>
      <c r="O268" s="4" t="s">
        <v>137</v>
      </c>
      <c r="P268" s="11" t="s">
        <v>35</v>
      </c>
    </row>
    <row r="269" spans="1:21" ht="12.75" customHeight="1">
      <c r="A269" s="22" t="s">
        <v>963</v>
      </c>
      <c r="B269" s="4" t="s">
        <v>958</v>
      </c>
      <c r="C269" s="4" t="s">
        <v>964</v>
      </c>
      <c r="D269" s="4" t="s">
        <v>960</v>
      </c>
      <c r="E269" s="4" t="s">
        <v>48</v>
      </c>
      <c r="F269" s="4" t="s">
        <v>253</v>
      </c>
      <c r="G269" s="4" t="s">
        <v>50</v>
      </c>
      <c r="H269" s="12" t="s">
        <v>254</v>
      </c>
      <c r="I269" s="5" t="s">
        <v>33</v>
      </c>
      <c r="L269" s="4" t="s">
        <v>201</v>
      </c>
      <c r="M269" s="4" t="s">
        <v>95</v>
      </c>
      <c r="N269" s="10" t="s">
        <v>136</v>
      </c>
      <c r="O269" s="4" t="s">
        <v>137</v>
      </c>
      <c r="P269" s="11" t="s">
        <v>35</v>
      </c>
    </row>
    <row r="270" spans="1:21" ht="12.75" customHeight="1">
      <c r="A270" s="22" t="s">
        <v>965</v>
      </c>
      <c r="B270" s="4" t="s">
        <v>958</v>
      </c>
      <c r="C270" s="4" t="s">
        <v>966</v>
      </c>
      <c r="D270" s="4" t="s">
        <v>960</v>
      </c>
      <c r="E270" s="4" t="s">
        <v>436</v>
      </c>
      <c r="F270" s="4" t="s">
        <v>253</v>
      </c>
      <c r="G270" s="4" t="s">
        <v>61</v>
      </c>
      <c r="H270" s="12" t="s">
        <v>254</v>
      </c>
      <c r="I270" s="5" t="s">
        <v>33</v>
      </c>
      <c r="L270" s="4" t="s">
        <v>201</v>
      </c>
      <c r="M270" s="4" t="s">
        <v>95</v>
      </c>
      <c r="N270" s="10" t="s">
        <v>136</v>
      </c>
      <c r="O270" s="4" t="s">
        <v>137</v>
      </c>
      <c r="P270" s="11" t="s">
        <v>35</v>
      </c>
    </row>
    <row r="271" spans="1:21" ht="12.75" customHeight="1">
      <c r="A271" s="22" t="s">
        <v>967</v>
      </c>
      <c r="B271" s="4" t="s">
        <v>958</v>
      </c>
      <c r="C271" s="4" t="s">
        <v>968</v>
      </c>
      <c r="D271" s="4" t="s">
        <v>960</v>
      </c>
      <c r="E271" s="4" t="s">
        <v>68</v>
      </c>
      <c r="F271" s="4" t="s">
        <v>253</v>
      </c>
      <c r="G271" s="4" t="s">
        <v>70</v>
      </c>
      <c r="H271" s="12" t="s">
        <v>254</v>
      </c>
      <c r="I271" s="5" t="s">
        <v>33</v>
      </c>
      <c r="L271" s="4" t="s">
        <v>201</v>
      </c>
      <c r="M271" s="4" t="s">
        <v>95</v>
      </c>
      <c r="N271" s="10" t="s">
        <v>136</v>
      </c>
      <c r="O271" s="4" t="s">
        <v>137</v>
      </c>
      <c r="P271" s="11" t="s">
        <v>35</v>
      </c>
    </row>
    <row r="272" spans="1:21" ht="12.75" customHeight="1">
      <c r="A272" s="28" t="s">
        <v>969</v>
      </c>
      <c r="B272" s="5" t="s">
        <v>970</v>
      </c>
      <c r="C272" s="11" t="str">
        <f t="shared" ref="C272:C281" si="7">F272&amp;" - "&amp;D272&amp;" - "&amp;E272</f>
        <v>REN - Rendara - MVP Implementación - Pending</v>
      </c>
      <c r="D272" s="5" t="s">
        <v>971</v>
      </c>
      <c r="E272" s="5" t="s">
        <v>969</v>
      </c>
      <c r="F272" s="5" t="s">
        <v>972</v>
      </c>
      <c r="G272" s="5" t="s">
        <v>81</v>
      </c>
      <c r="H272" s="11" t="str">
        <f>_xlfn.IFNA(VLOOKUP(F272,clientes!A:B,2,FALSE()),"--")</f>
        <v>Rendara</v>
      </c>
      <c r="I272" s="5" t="s">
        <v>71</v>
      </c>
      <c r="J272" s="9" t="s">
        <v>973</v>
      </c>
      <c r="K272" s="8" t="s">
        <v>974</v>
      </c>
      <c r="L272" s="10"/>
      <c r="M272" s="10" t="s">
        <v>74</v>
      </c>
      <c r="N272" s="10" t="s">
        <v>75</v>
      </c>
      <c r="P272" s="11" t="s">
        <v>77</v>
      </c>
      <c r="Q272" s="11" t="s">
        <v>391</v>
      </c>
      <c r="R272" s="23"/>
      <c r="S272" s="10" t="s">
        <v>64</v>
      </c>
    </row>
    <row r="273" spans="1:19" ht="12.75" customHeight="1">
      <c r="A273" s="28" t="s">
        <v>969</v>
      </c>
      <c r="B273" s="5" t="s">
        <v>975</v>
      </c>
      <c r="C273" s="11" t="str">
        <f t="shared" si="7"/>
        <v>MTU - Desarrollo Muttu 2.0 - Pending</v>
      </c>
      <c r="D273" s="5" t="s">
        <v>976</v>
      </c>
      <c r="E273" s="5" t="s">
        <v>969</v>
      </c>
      <c r="F273" s="5" t="s">
        <v>977</v>
      </c>
      <c r="G273" s="5" t="s">
        <v>81</v>
      </c>
      <c r="H273" s="11" t="str">
        <f>_xlfn.IFNA(VLOOKUP(F273,clientes!A:B,2,FALSE()),"--")</f>
        <v>Muttu</v>
      </c>
      <c r="I273" s="5" t="s">
        <v>71</v>
      </c>
      <c r="J273" s="6" t="s">
        <v>978</v>
      </c>
      <c r="K273" s="7" t="s">
        <v>979</v>
      </c>
      <c r="L273" s="10"/>
      <c r="M273" s="10" t="s">
        <v>74</v>
      </c>
      <c r="N273" s="10" t="s">
        <v>75</v>
      </c>
      <c r="P273" s="11" t="s">
        <v>77</v>
      </c>
      <c r="Q273" s="11" t="s">
        <v>36</v>
      </c>
      <c r="R273" s="23"/>
      <c r="S273" s="10" t="s">
        <v>64</v>
      </c>
    </row>
    <row r="274" spans="1:19" ht="12.75" customHeight="1">
      <c r="A274" s="28" t="s">
        <v>969</v>
      </c>
      <c r="B274" s="5" t="s">
        <v>980</v>
      </c>
      <c r="C274" s="11" t="str">
        <f t="shared" si="7"/>
        <v>MTU - Operación - Muttu V2.0 - Pending</v>
      </c>
      <c r="D274" s="5" t="s">
        <v>981</v>
      </c>
      <c r="E274" s="5" t="s">
        <v>969</v>
      </c>
      <c r="F274" s="5" t="s">
        <v>977</v>
      </c>
      <c r="G274" s="5" t="s">
        <v>81</v>
      </c>
      <c r="H274" s="11" t="str">
        <f>_xlfn.IFNA(VLOOKUP(F274,clientes!A:B,2,FALSE()),"--")</f>
        <v>Muttu</v>
      </c>
      <c r="I274" s="5" t="s">
        <v>71</v>
      </c>
      <c r="J274" s="6" t="s">
        <v>982</v>
      </c>
      <c r="K274" s="4" t="s">
        <v>983</v>
      </c>
      <c r="L274" s="10"/>
      <c r="M274" s="10" t="s">
        <v>74</v>
      </c>
      <c r="N274" s="10" t="s">
        <v>75</v>
      </c>
      <c r="P274" s="11" t="s">
        <v>77</v>
      </c>
      <c r="Q274" s="11" t="s">
        <v>391</v>
      </c>
      <c r="S274" s="10" t="s">
        <v>64</v>
      </c>
    </row>
    <row r="275" spans="1:19" ht="12.75" customHeight="1">
      <c r="A275" s="28" t="s">
        <v>969</v>
      </c>
      <c r="B275" s="5" t="s">
        <v>984</v>
      </c>
      <c r="C275" s="11" t="str">
        <f t="shared" si="7"/>
        <v>BCX - Assessment Data Analytics - Pending</v>
      </c>
      <c r="D275" s="5" t="s">
        <v>985</v>
      </c>
      <c r="E275" s="5" t="s">
        <v>969</v>
      </c>
      <c r="F275" s="5" t="s">
        <v>986</v>
      </c>
      <c r="G275" s="5" t="s">
        <v>81</v>
      </c>
      <c r="H275" s="11" t="str">
        <f>_xlfn.IFNA(VLOOKUP(F275,clientes!A:B,2,FALSE()),"--")</f>
        <v>Banco de Desarrollo Empresarial de Colombia</v>
      </c>
      <c r="I275" s="5" t="s">
        <v>71</v>
      </c>
      <c r="J275" s="12" t="s">
        <v>987</v>
      </c>
      <c r="K275" s="4" t="s">
        <v>988</v>
      </c>
      <c r="L275" s="10"/>
      <c r="M275" s="10" t="s">
        <v>95</v>
      </c>
      <c r="N275" s="10" t="s">
        <v>989</v>
      </c>
      <c r="O275" s="4" t="s">
        <v>34</v>
      </c>
      <c r="P275" s="11" t="s">
        <v>77</v>
      </c>
      <c r="Q275" s="11" t="s">
        <v>36</v>
      </c>
      <c r="S275" s="10" t="s">
        <v>37</v>
      </c>
    </row>
    <row r="276" spans="1:19" ht="12.75" customHeight="1">
      <c r="A276" s="28" t="s">
        <v>969</v>
      </c>
      <c r="B276" s="5" t="s">
        <v>990</v>
      </c>
      <c r="C276" s="11" t="str">
        <f t="shared" si="7"/>
        <v>FDN - POC Agente Cognitivo Contratación - Pending</v>
      </c>
      <c r="D276" s="5" t="s">
        <v>991</v>
      </c>
      <c r="E276" s="5" t="s">
        <v>969</v>
      </c>
      <c r="F276" s="5" t="s">
        <v>231</v>
      </c>
      <c r="G276" s="5" t="s">
        <v>81</v>
      </c>
      <c r="H276" s="11" t="str">
        <f>_xlfn.IFNA(VLOOKUP(F276,clientes!A:B,2,FALSE()),"--")</f>
        <v>Financiera de Desarrollo Nacional</v>
      </c>
      <c r="I276" s="5" t="s">
        <v>71</v>
      </c>
      <c r="J276" s="12" t="s">
        <v>232</v>
      </c>
      <c r="K276" s="4" t="s">
        <v>992</v>
      </c>
      <c r="L276" s="10" t="s">
        <v>134</v>
      </c>
      <c r="M276" s="10" t="s">
        <v>95</v>
      </c>
      <c r="N276" s="10" t="s">
        <v>136</v>
      </c>
      <c r="O276" s="4" t="s">
        <v>137</v>
      </c>
      <c r="P276" s="11" t="s">
        <v>77</v>
      </c>
      <c r="Q276" s="11" t="s">
        <v>36</v>
      </c>
      <c r="S276" s="10" t="s">
        <v>37</v>
      </c>
    </row>
    <row r="277" spans="1:19" ht="12.75" customHeight="1">
      <c r="A277" s="28" t="s">
        <v>969</v>
      </c>
      <c r="B277" s="5" t="s">
        <v>993</v>
      </c>
      <c r="C277" s="11" t="str">
        <f t="shared" si="7"/>
        <v>MDR - POC - Grupos Relacionados por el Diagnóstico (GRDs) - Pending</v>
      </c>
      <c r="D277" s="5" t="s">
        <v>994</v>
      </c>
      <c r="E277" s="5" t="s">
        <v>969</v>
      </c>
      <c r="F277" s="5" t="s">
        <v>995</v>
      </c>
      <c r="G277" s="5" t="s">
        <v>81</v>
      </c>
      <c r="H277" s="11" t="str">
        <f>_xlfn.IFNA(VLOOKUP(F277,clientes!A:B,2,FALSE()),"--")</f>
        <v>Mederi</v>
      </c>
      <c r="I277" s="5" t="s">
        <v>71</v>
      </c>
      <c r="J277" s="12" t="s">
        <v>996</v>
      </c>
      <c r="K277" s="4" t="s">
        <v>997</v>
      </c>
      <c r="L277" s="10"/>
      <c r="M277" s="10" t="s">
        <v>145</v>
      </c>
      <c r="N277" s="10" t="s">
        <v>989</v>
      </c>
      <c r="O277" s="4" t="s">
        <v>34</v>
      </c>
      <c r="P277" s="11" t="s">
        <v>77</v>
      </c>
      <c r="Q277" s="11" t="s">
        <v>36</v>
      </c>
      <c r="R277" s="23"/>
      <c r="S277" s="10" t="s">
        <v>37</v>
      </c>
    </row>
    <row r="278" spans="1:19" ht="12.75" customHeight="1">
      <c r="A278" s="28" t="s">
        <v>969</v>
      </c>
      <c r="B278" s="5" t="s">
        <v>998</v>
      </c>
      <c r="C278" s="11" t="str">
        <f t="shared" si="7"/>
        <v>PRO - POC - Análisis de llamadas - Pending</v>
      </c>
      <c r="D278" s="5" t="s">
        <v>999</v>
      </c>
      <c r="E278" s="5" t="s">
        <v>969</v>
      </c>
      <c r="F278" s="5" t="s">
        <v>590</v>
      </c>
      <c r="G278" s="5" t="s">
        <v>81</v>
      </c>
      <c r="H278" s="11" t="str">
        <f>_xlfn.IFNA(VLOOKUP(F278,clientes!A:B,2,FALSE()),"--")</f>
        <v>--</v>
      </c>
      <c r="I278" s="5" t="s">
        <v>71</v>
      </c>
      <c r="J278" s="12" t="s">
        <v>591</v>
      </c>
      <c r="K278" s="4" t="s">
        <v>999</v>
      </c>
      <c r="L278" s="10" t="s">
        <v>73</v>
      </c>
      <c r="M278" s="10" t="s">
        <v>157</v>
      </c>
      <c r="N278" s="10" t="s">
        <v>989</v>
      </c>
      <c r="O278" s="4" t="s">
        <v>34</v>
      </c>
      <c r="P278" s="11" t="s">
        <v>77</v>
      </c>
      <c r="Q278" s="11" t="s">
        <v>36</v>
      </c>
      <c r="S278" s="10" t="s">
        <v>37</v>
      </c>
    </row>
    <row r="279" spans="1:19" ht="12.75" customHeight="1">
      <c r="A279" s="28" t="s">
        <v>969</v>
      </c>
      <c r="B279" s="5" t="s">
        <v>1000</v>
      </c>
      <c r="C279" s="11" t="str">
        <f t="shared" si="7"/>
        <v>MTC - POC - EVA - Pending</v>
      </c>
      <c r="D279" s="5" t="s">
        <v>1001</v>
      </c>
      <c r="E279" s="5" t="s">
        <v>969</v>
      </c>
      <c r="F279" s="5" t="s">
        <v>279</v>
      </c>
      <c r="G279" s="5" t="s">
        <v>81</v>
      </c>
      <c r="H279" s="11" t="str">
        <f>_xlfn.IFNA(VLOOKUP(F279,clientes!A:B,2,FALSE()),"--")</f>
        <v>MinTic</v>
      </c>
      <c r="I279" s="5" t="s">
        <v>71</v>
      </c>
      <c r="J279" s="12" t="s">
        <v>1002</v>
      </c>
      <c r="K279" s="4" t="s">
        <v>34</v>
      </c>
      <c r="L279" s="10" t="s">
        <v>282</v>
      </c>
      <c r="M279" s="10" t="s">
        <v>74</v>
      </c>
      <c r="N279" s="10" t="s">
        <v>989</v>
      </c>
      <c r="O279" s="4" t="s">
        <v>34</v>
      </c>
      <c r="P279" s="11" t="s">
        <v>77</v>
      </c>
      <c r="Q279" s="11" t="s">
        <v>36</v>
      </c>
      <c r="S279" s="10" t="s">
        <v>37</v>
      </c>
    </row>
    <row r="280" spans="1:19" ht="12.75" customHeight="1">
      <c r="A280" s="28" t="s">
        <v>969</v>
      </c>
      <c r="B280" s="5" t="s">
        <v>1003</v>
      </c>
      <c r="C280" s="11" t="str">
        <f t="shared" si="7"/>
        <v>BRE - PoC ACI Pagos Inmediatos - Pending</v>
      </c>
      <c r="D280" s="5" t="s">
        <v>1004</v>
      </c>
      <c r="E280" s="5" t="s">
        <v>969</v>
      </c>
      <c r="F280" s="5" t="s">
        <v>1005</v>
      </c>
      <c r="G280" s="5" t="s">
        <v>81</v>
      </c>
      <c r="H280" s="11" t="str">
        <f>_xlfn.IFNA(VLOOKUP(F280,clientes!A:B,2,FALSE()),"--")</f>
        <v>Banco de la República</v>
      </c>
      <c r="I280" s="5" t="s">
        <v>71</v>
      </c>
      <c r="J280" s="12" t="s">
        <v>1006</v>
      </c>
      <c r="K280" s="4" t="s">
        <v>1004</v>
      </c>
      <c r="L280" s="10" t="s">
        <v>34</v>
      </c>
      <c r="M280" s="10" t="s">
        <v>157</v>
      </c>
      <c r="N280" s="10" t="s">
        <v>1007</v>
      </c>
      <c r="O280" s="4" t="s">
        <v>34</v>
      </c>
      <c r="P280" s="11" t="s">
        <v>77</v>
      </c>
      <c r="Q280" s="11" t="s">
        <v>36</v>
      </c>
      <c r="S280" s="10" t="s">
        <v>37</v>
      </c>
    </row>
    <row r="281" spans="1:19" ht="12.75" customHeight="1">
      <c r="A281" s="28" t="s">
        <v>969</v>
      </c>
      <c r="B281" s="5" t="s">
        <v>1008</v>
      </c>
      <c r="C281" s="11" t="str">
        <f t="shared" si="7"/>
        <v>CCB - Poc Analitica - Pending</v>
      </c>
      <c r="D281" s="5" t="s">
        <v>1009</v>
      </c>
      <c r="E281" s="5" t="s">
        <v>969</v>
      </c>
      <c r="F281" s="5" t="s">
        <v>1010</v>
      </c>
      <c r="G281" s="5" t="s">
        <v>81</v>
      </c>
      <c r="H281" s="11" t="str">
        <f>_xlfn.IFNA(VLOOKUP(F281,clientes!A:B,2,FALSE()),"--")</f>
        <v>Camara de Comercio de Bogotá</v>
      </c>
      <c r="I281" s="5" t="s">
        <v>71</v>
      </c>
      <c r="J281" s="12" t="s">
        <v>1011</v>
      </c>
      <c r="K281" s="11"/>
      <c r="L281" s="10"/>
      <c r="M281" s="10" t="s">
        <v>74</v>
      </c>
      <c r="N281" s="10" t="s">
        <v>201</v>
      </c>
      <c r="O281" s="4" t="s">
        <v>425</v>
      </c>
      <c r="P281" s="11" t="s">
        <v>77</v>
      </c>
      <c r="Q281" s="11" t="s">
        <v>36</v>
      </c>
      <c r="S281" s="10" t="s">
        <v>37</v>
      </c>
    </row>
  </sheetData>
  <conditionalFormatting sqref="B273:B275">
    <cfRule type="containsBlanks" dxfId="158" priority="34">
      <formula>LEN(TRIM(B273))=0</formula>
    </cfRule>
  </conditionalFormatting>
  <conditionalFormatting sqref="C176:C181">
    <cfRule type="containsBlanks" dxfId="157" priority="109">
      <formula>LEN(TRIM(C176))=0</formula>
    </cfRule>
  </conditionalFormatting>
  <conditionalFormatting sqref="C198:C201">
    <cfRule type="containsBlanks" dxfId="156" priority="90">
      <formula>LEN(TRIM(C198))=0</formula>
    </cfRule>
  </conditionalFormatting>
  <conditionalFormatting sqref="C215 C235:C237">
    <cfRule type="containsBlanks" dxfId="155" priority="68">
      <formula>LEN(TRIM(C215))=0</formula>
    </cfRule>
  </conditionalFormatting>
  <conditionalFormatting sqref="C274:C275">
    <cfRule type="containsBlanks" dxfId="154" priority="30">
      <formula>LEN(TRIM(C274))=0</formula>
    </cfRule>
  </conditionalFormatting>
  <conditionalFormatting sqref="C277:C279">
    <cfRule type="containsBlanks" dxfId="153" priority="16">
      <formula>LEN(TRIM(C277))=0</formula>
    </cfRule>
  </conditionalFormatting>
  <conditionalFormatting sqref="C273:D273">
    <cfRule type="containsBlanks" dxfId="152" priority="35">
      <formula>LEN(TRIM(C273))=0</formula>
    </cfRule>
  </conditionalFormatting>
  <conditionalFormatting sqref="C173:F174 C175:D175">
    <cfRule type="containsBlanks" dxfId="151" priority="93">
      <formula>LEN(TRIM(C173))=0</formula>
    </cfRule>
  </conditionalFormatting>
  <conditionalFormatting sqref="C272:F272">
    <cfRule type="containsBlanks" dxfId="150" priority="40">
      <formula>LEN(TRIM(C272))=0</formula>
    </cfRule>
  </conditionalFormatting>
  <conditionalFormatting sqref="C276:F276">
    <cfRule type="containsBlanks" dxfId="149" priority="22">
      <formula>LEN(TRIM(C276))=0</formula>
    </cfRule>
  </conditionalFormatting>
  <conditionalFormatting sqref="D238:D242">
    <cfRule type="containsBlanks" dxfId="148" priority="75">
      <formula>LEN(TRIM(D238))=0</formula>
    </cfRule>
  </conditionalFormatting>
  <conditionalFormatting sqref="D274:D275">
    <cfRule type="containsBlanks" dxfId="147" priority="33">
      <formula>LEN(TRIM(D274))=0</formula>
    </cfRule>
  </conditionalFormatting>
  <conditionalFormatting sqref="D154:G154">
    <cfRule type="containsBlanks" dxfId="146" priority="115">
      <formula>LEN(TRIM(D154))=0</formula>
    </cfRule>
  </conditionalFormatting>
  <conditionalFormatting sqref="E43:E44 E47 E50 E52 E57 E59 E62 E64 E68:E69 E71 E73 E76:E79 E85 E89 E92 E94 E98 E100:E101 E104:E105 E110 E112:E115 E117:E119 E122 E127 E132:E133 E137 E140 E142 E144 E150 E165 E170 E175:E180 E185:E187 E190 E194 E204:E205 E208:E209 E214 E219 E223 E227:E231 E235 E238 E241 E243 E247 E253 E256:E257 E259 E263">
    <cfRule type="containsBlanks" dxfId="145" priority="46">
      <formula>LEN(TRIM(E43))=0</formula>
    </cfRule>
  </conditionalFormatting>
  <conditionalFormatting sqref="E125 E126:F126">
    <cfRule type="containsBlanks" dxfId="144" priority="117">
      <formula>LEN(TRIM(E125))=0</formula>
    </cfRule>
  </conditionalFormatting>
  <conditionalFormatting sqref="E167 E172 E192 E196 E198:E201 E211 E217">
    <cfRule type="containsBlanks" dxfId="143" priority="49">
      <formula>LEN(TRIM(E167))=0</formula>
    </cfRule>
  </conditionalFormatting>
  <conditionalFormatting sqref="E274">
    <cfRule type="containsBlanks" dxfId="142" priority="31">
      <formula>LEN(TRIM(E274))=0</formula>
    </cfRule>
  </conditionalFormatting>
  <conditionalFormatting sqref="E277:E279">
    <cfRule type="containsBlanks" dxfId="141" priority="10">
      <formula>LEN(TRIM(E277))=0</formula>
    </cfRule>
  </conditionalFormatting>
  <conditionalFormatting sqref="E197:G197">
    <cfRule type="containsBlanks" dxfId="140" priority="91">
      <formula>LEN(TRIM(E197))=0</formula>
    </cfRule>
  </conditionalFormatting>
  <conditionalFormatting sqref="E273:H273">
    <cfRule type="containsBlanks" dxfId="139" priority="36">
      <formula>LEN(TRIM(E273))=0</formula>
    </cfRule>
  </conditionalFormatting>
  <conditionalFormatting sqref="F2:F5 G3:G5">
    <cfRule type="containsBlanks" dxfId="138" priority="111">
      <formula>LEN(TRIM(F2))=0</formula>
    </cfRule>
  </conditionalFormatting>
  <conditionalFormatting sqref="F36:F38">
    <cfRule type="containsBlanks" dxfId="137" priority="94">
      <formula>LEN(TRIM(F36))=0</formula>
    </cfRule>
  </conditionalFormatting>
  <conditionalFormatting sqref="F175:F196">
    <cfRule type="containsBlanks" dxfId="136" priority="92">
      <formula>LEN(TRIM(F175))=0</formula>
    </cfRule>
  </conditionalFormatting>
  <conditionalFormatting sqref="F198:F201">
    <cfRule type="containsBlanks" dxfId="135" priority="86">
      <formula>LEN(TRIM(F198))=0</formula>
    </cfRule>
  </conditionalFormatting>
  <conditionalFormatting sqref="F203:F215 F235:F237">
    <cfRule type="containsBlanks" dxfId="134" priority="67">
      <formula>LEN(TRIM(F203))=0</formula>
    </cfRule>
  </conditionalFormatting>
  <conditionalFormatting sqref="F220">
    <cfRule type="containsBlanks" dxfId="133" priority="83">
      <formula>LEN(TRIM(F220))=0</formula>
    </cfRule>
  </conditionalFormatting>
  <conditionalFormatting sqref="F274:F275">
    <cfRule type="containsBlanks" dxfId="132" priority="32">
      <formula>LEN(TRIM(F274))=0</formula>
    </cfRule>
  </conditionalFormatting>
  <conditionalFormatting sqref="F277:F281">
    <cfRule type="containsBlanks" dxfId="131" priority="5">
      <formula>LEN(TRIM(F277))=0</formula>
    </cfRule>
  </conditionalFormatting>
  <conditionalFormatting sqref="G35:G37 G39:G42 G48:G49 G60:G61 G65:G67 G86:G88 G95:G97 G102:G103 G106:G109 G128:G131 G134:G136 G145:G149 G151:G152 G171:G174 G176:G178 G180:G184 G191:G193 G195:G196 G198:G203 G220:G222 G224:G229 G232:G234 G248:G252 G260:G262">
    <cfRule type="containsBlanks" dxfId="130" priority="47">
      <formula>LEN(TRIM(G35))=0</formula>
    </cfRule>
  </conditionalFormatting>
  <conditionalFormatting sqref="G45:G46 G58 G63 G70 G74:G75 G80:G84 G90:G91 G111 G120 G123 G125:G126 G138:G139 G236:G237 G244:G246 G258 G264:G266">
    <cfRule type="containsBlanks" dxfId="129" priority="50">
      <formula>LEN(TRIM(G45))=0</formula>
    </cfRule>
  </conditionalFormatting>
  <conditionalFormatting sqref="G51 G72 G93 G99 G116 G141 G143 G188:G189">
    <cfRule type="containsBlanks" dxfId="128" priority="51">
      <formula>LEN(TRIM(G51))=0</formula>
    </cfRule>
  </conditionalFormatting>
  <conditionalFormatting sqref="G53:G56 G166:G169 G205:G208 G210:G213 G215:G218 G254:G256">
    <cfRule type="containsBlanks" dxfId="127" priority="48">
      <formula>LEN(TRIM(G53))=0</formula>
    </cfRule>
  </conditionalFormatting>
  <conditionalFormatting sqref="G272">
    <cfRule type="containsBlanks" dxfId="126" priority="37">
      <formula>LEN(TRIM(G272))=0</formula>
    </cfRule>
  </conditionalFormatting>
  <conditionalFormatting sqref="G274:G276">
    <cfRule type="containsBlanks" dxfId="125" priority="21">
      <formula>LEN(TRIM(G274))=0</formula>
    </cfRule>
  </conditionalFormatting>
  <conditionalFormatting sqref="G280:G281">
    <cfRule type="containsBlanks" dxfId="124" priority="1">
      <formula>LEN(TRIM(G280))=0</formula>
    </cfRule>
  </conditionalFormatting>
  <conditionalFormatting sqref="H8:H215 H235:H238">
    <cfRule type="containsBlanks" dxfId="123" priority="66">
      <formula>LEN(TRIM(H8))=0</formula>
    </cfRule>
  </conditionalFormatting>
  <conditionalFormatting sqref="H220:H226">
    <cfRule type="containsBlanks" dxfId="122" priority="82">
      <formula>LEN(TRIM(H220))=0</formula>
    </cfRule>
  </conditionalFormatting>
  <conditionalFormatting sqref="H266 N266">
    <cfRule type="containsBlanks" dxfId="121" priority="55">
      <formula>LEN(TRIM(H266))=0</formula>
    </cfRule>
  </conditionalFormatting>
  <conditionalFormatting sqref="H272">
    <cfRule type="containsBlanks" dxfId="120" priority="41">
      <formula>LEN(TRIM(H272))=0</formula>
    </cfRule>
  </conditionalFormatting>
  <conditionalFormatting sqref="H274:H281">
    <cfRule type="containsBlanks" dxfId="119" priority="6">
      <formula>LEN(TRIM(H274))=0</formula>
    </cfRule>
  </conditionalFormatting>
  <conditionalFormatting sqref="I2:I183">
    <cfRule type="cellIs" dxfId="118" priority="131" operator="equal">
      <formula>"Activo"</formula>
    </cfRule>
    <cfRule type="cellIs" dxfId="117" priority="132" operator="equal">
      <formula>"Inactivo"</formula>
    </cfRule>
  </conditionalFormatting>
  <conditionalFormatting sqref="I16:I18">
    <cfRule type="containsBlanks" dxfId="116" priority="77">
      <formula>LEN(TRIM(I16))=0</formula>
    </cfRule>
  </conditionalFormatting>
  <conditionalFormatting sqref="I23:I24">
    <cfRule type="containsBlanks" dxfId="115" priority="118">
      <formula>LEN(TRIM(I23))=0</formula>
    </cfRule>
  </conditionalFormatting>
  <conditionalFormatting sqref="I81:I196 I198:I271 I29:I77 I79">
    <cfRule type="containsBlanks" dxfId="114" priority="65">
      <formula>LEN(TRIM(I29))=0</formula>
    </cfRule>
  </conditionalFormatting>
  <conditionalFormatting sqref="I184">
    <cfRule type="cellIs" dxfId="113" priority="95" operator="equal">
      <formula>"Activo"</formula>
    </cfRule>
    <cfRule type="cellIs" dxfId="112" priority="96" operator="equal">
      <formula>"Inactivo"</formula>
    </cfRule>
  </conditionalFormatting>
  <conditionalFormatting sqref="I185:I266">
    <cfRule type="cellIs" dxfId="111" priority="56" operator="equal">
      <formula>"Activo"</formula>
    </cfRule>
    <cfRule type="cellIs" dxfId="110" priority="57" operator="equal">
      <formula>"Inactivo"</formula>
    </cfRule>
  </conditionalFormatting>
  <conditionalFormatting sqref="I266">
    <cfRule type="containsBlanks" dxfId="109" priority="54">
      <formula>LEN(TRIM(I266))=0</formula>
    </cfRule>
  </conditionalFormatting>
  <conditionalFormatting sqref="I267:I272">
    <cfRule type="cellIs" dxfId="108" priority="44" operator="equal">
      <formula>"Activo"</formula>
    </cfRule>
    <cfRule type="cellIs" dxfId="107" priority="45" operator="equal">
      <formula>"Inactivo"</formula>
    </cfRule>
  </conditionalFormatting>
  <conditionalFormatting sqref="I272:I281">
    <cfRule type="containsBlanks" dxfId="106" priority="4">
      <formula>LEN(TRIM(I272))=0</formula>
    </cfRule>
  </conditionalFormatting>
  <conditionalFormatting sqref="I273:I276">
    <cfRule type="cellIs" dxfId="105" priority="26" operator="equal">
      <formula>"Activo"</formula>
    </cfRule>
    <cfRule type="cellIs" dxfId="104" priority="27" operator="equal">
      <formula>"Inactivo"</formula>
    </cfRule>
  </conditionalFormatting>
  <conditionalFormatting sqref="I277:I279">
    <cfRule type="cellIs" dxfId="103" priority="17" operator="equal">
      <formula>"Activo"</formula>
    </cfRule>
    <cfRule type="cellIs" dxfId="102" priority="18" operator="equal">
      <formula>"Inactivo"</formula>
    </cfRule>
  </conditionalFormatting>
  <conditionalFormatting sqref="I280:I281">
    <cfRule type="cellIs" dxfId="101" priority="2" operator="equal">
      <formula>"Activo"</formula>
    </cfRule>
    <cfRule type="cellIs" dxfId="100" priority="3" operator="equal">
      <formula>"Inactivo"</formula>
    </cfRule>
  </conditionalFormatting>
  <conditionalFormatting sqref="I37:J39 M37:M39 I40:M40 M71:M77 M79 M81:M82 I85:J89 M85:M89 I90:M96 I97:J97 M97 I98:M104 I105:J119 C125:C126 S130:S156">
    <cfRule type="containsBlanks" dxfId="99" priority="126">
      <formula>LEN(TRIM(C37))=0</formula>
    </cfRule>
  </conditionalFormatting>
  <conditionalFormatting sqref="I51:J59 M64:M65 I64:J68 F117:F120 F121:G121 F122:F123 F124:G124 F125">
    <cfRule type="containsBlanks" dxfId="98" priority="112">
      <formula>LEN(TRIM(F51))=0</formula>
    </cfRule>
  </conditionalFormatting>
  <conditionalFormatting sqref="I71:J77">
    <cfRule type="containsBlanks" dxfId="97" priority="102">
      <formula>LEN(TRIM(I71))=0</formula>
    </cfRule>
  </conditionalFormatting>
  <conditionalFormatting sqref="I79:J79">
    <cfRule type="containsBlanks" dxfId="96" priority="101">
      <formula>LEN(TRIM(I79))=0</formula>
    </cfRule>
  </conditionalFormatting>
  <conditionalFormatting sqref="I81:J82">
    <cfRule type="containsBlanks" dxfId="95" priority="100">
      <formula>LEN(TRIM(I81))=0</formula>
    </cfRule>
  </conditionalFormatting>
  <conditionalFormatting sqref="I197:K197 F1:M1 C1:D32 A1:B124 G2:M2 H3:M6 H7:J7 K7:M8 I8:J8 I9:M36 C33:F35 C36:D36 C37:E38 C39:F42 I41:K50 L41:M63 C43:D44 F43:F44 C45:F46 C47:D47 F47 C48:F49 C50:D50 F50 C51:F51 C52:D52 F52 C53:F56 C57:D57 F57 C58:F58 C59:D59 F59 C60:F61 I60:K63 C62:D62 F62 C63:F63 C64:D64 F64 C65:F67 L66:M68 C68:D69 F68:F69 C70:F70 C71:D71 F71 C72:F72 C73:D73 F73 C74:F75 C76:D79 F76:F79 C80:F84 I83:M84 C85:D85 F85 C86:F88 C89:D89 F89 C90:F91 C92:D92 F92 C93:F93 C94:D94 F94 C95:F97 C98:D98 F98 C99:F99 C100:D101 F100:F101 C102:F103 C104:D105 F104:F105 C106:F109 C110:D110 F110 C111:F111 C112:D115 F112:F115 C116:F116 C117:D119 C120:E121 K121:M124 C122:D122 C123:E124 L125:M126 C127:D127 F127 A127:B155 C128:F131 C132:D133 F132:F133 L133:M136 C134:F136 C137:D137 F137 C138:F139 C140:D140 F140 C141:F141 C142:D142 F142 C143:F143 L143:M157 C144:D144 F144 C145:F149 I148:K153 C150:D150 F150 C151:F152 C153:G153 J154:K154 C154:C159 A158:B164 C160:G161 A172:B172 L172:N172 L176:M181 A197:C197 L197:N201 A224:F226">
    <cfRule type="containsBlanks" dxfId="94" priority="114">
      <formula>LEN(TRIM(A1))=0</formula>
    </cfRule>
  </conditionalFormatting>
  <conditionalFormatting sqref="I69:M70 O69:O70 I131:M132 O131:O132">
    <cfRule type="containsBlanks" dxfId="93" priority="84">
      <formula>LEN(TRIM(I69))=0</formula>
    </cfRule>
  </conditionalFormatting>
  <conditionalFormatting sqref="I78:M78">
    <cfRule type="containsBlanks" dxfId="92" priority="98">
      <formula>LEN(TRIM(I78))=0</formula>
    </cfRule>
  </conditionalFormatting>
  <conditionalFormatting sqref="I80:M80">
    <cfRule type="containsBlanks" dxfId="91" priority="97">
      <formula>LEN(TRIM(I80))=0</formula>
    </cfRule>
  </conditionalFormatting>
  <conditionalFormatting sqref="I266:M266">
    <cfRule type="containsBlanks" dxfId="90" priority="53">
      <formula>LEN(TRIM(I266))=0</formula>
    </cfRule>
  </conditionalFormatting>
  <conditionalFormatting sqref="I272:M272">
    <cfRule type="containsBlanks" dxfId="89" priority="39">
      <formula>LEN(TRIM(I272))=0</formula>
    </cfRule>
  </conditionalFormatting>
  <conditionalFormatting sqref="I276:M276">
    <cfRule type="containsBlanks" dxfId="88" priority="23">
      <formula>LEN(TRIM(I276))=0</formula>
    </cfRule>
  </conditionalFormatting>
  <conditionalFormatting sqref="J198:J201">
    <cfRule type="containsBlanks" dxfId="87" priority="85">
      <formula>LEN(TRIM(J198))=0</formula>
    </cfRule>
  </conditionalFormatting>
  <conditionalFormatting sqref="J224:J226">
    <cfRule type="containsBlanks" dxfId="86" priority="81">
      <formula>LEN(TRIM(J224))=0</formula>
    </cfRule>
  </conditionalFormatting>
  <conditionalFormatting sqref="J238:J242">
    <cfRule type="containsBlanks" dxfId="85" priority="74">
      <formula>LEN(TRIM(J238))=0</formula>
    </cfRule>
  </conditionalFormatting>
  <conditionalFormatting sqref="J277:J279">
    <cfRule type="containsBlanks" dxfId="84" priority="12">
      <formula>LEN(TRIM(J277))=0</formula>
    </cfRule>
  </conditionalFormatting>
  <conditionalFormatting sqref="J158:M161">
    <cfRule type="containsBlanks" dxfId="83" priority="113">
      <formula>LEN(TRIM(J158))=0</formula>
    </cfRule>
  </conditionalFormatting>
  <conditionalFormatting sqref="J273:M275">
    <cfRule type="containsBlanks" dxfId="82" priority="28">
      <formula>LEN(TRIM(J273))=0</formula>
    </cfRule>
  </conditionalFormatting>
  <conditionalFormatting sqref="K37:L38">
    <cfRule type="containsBlanks" dxfId="81" priority="103">
      <formula>LEN(TRIM(K37))=0</formula>
    </cfRule>
  </conditionalFormatting>
  <conditionalFormatting sqref="K238:M242 S238:S242">
    <cfRule type="containsBlanks" dxfId="80" priority="71">
      <formula>LEN(TRIM(K238))=0</formula>
    </cfRule>
  </conditionalFormatting>
  <conditionalFormatting sqref="L29 L98:L104 I125:J130 M127:M130 I133:J136 I143:J147">
    <cfRule type="containsBlanks" dxfId="79" priority="110">
      <formula>LEN(TRIM(I29))=0</formula>
    </cfRule>
  </conditionalFormatting>
  <conditionalFormatting sqref="L37:L39 L173:L175 L183 L221:L223">
    <cfRule type="containsBlanks" dxfId="78" priority="60">
      <formula>LEN(TRIM(L37))=0</formula>
    </cfRule>
  </conditionalFormatting>
  <conditionalFormatting sqref="L70 I137:M142 L160:L161">
    <cfRule type="containsBlanks" dxfId="77" priority="78">
      <formula>LEN(TRIM(I70))=0</formula>
    </cfRule>
  </conditionalFormatting>
  <conditionalFormatting sqref="L90:L92">
    <cfRule type="containsBlanks" dxfId="76" priority="64">
      <formula>LEN(TRIM(L90))=0</formula>
    </cfRule>
  </conditionalFormatting>
  <conditionalFormatting sqref="L131:L132">
    <cfRule type="containsBlanks" dxfId="75" priority="63">
      <formula>LEN(TRIM(L131))=0</formula>
    </cfRule>
  </conditionalFormatting>
  <conditionalFormatting sqref="L139:L140">
    <cfRule type="containsBlanks" dxfId="74" priority="62">
      <formula>LEN(TRIM(L139))=0</formula>
    </cfRule>
  </conditionalFormatting>
  <conditionalFormatting sqref="L165:L169">
    <cfRule type="containsBlanks" dxfId="73" priority="79">
      <formula>LEN(TRIM(L165))=0</formula>
    </cfRule>
  </conditionalFormatting>
  <conditionalFormatting sqref="L238:L242">
    <cfRule type="containsBlanks" dxfId="72" priority="61">
      <formula>LEN(TRIM(L238))=0</formula>
    </cfRule>
  </conditionalFormatting>
  <conditionalFormatting sqref="L266">
    <cfRule type="containsBlanks" dxfId="71" priority="52">
      <formula>LEN(TRIM(L266))=0</formula>
    </cfRule>
  </conditionalFormatting>
  <conditionalFormatting sqref="L272">
    <cfRule type="containsBlanks" dxfId="70" priority="38">
      <formula>LEN(TRIM(L272))=0</formula>
    </cfRule>
  </conditionalFormatting>
  <conditionalFormatting sqref="L277:M279">
    <cfRule type="containsBlanks" dxfId="69" priority="9">
      <formula>LEN(TRIM(L277))=0</formula>
    </cfRule>
  </conditionalFormatting>
  <conditionalFormatting sqref="M224:M226">
    <cfRule type="containsBlanks" dxfId="68" priority="80">
      <formula>LEN(TRIM(M224))=0</formula>
    </cfRule>
  </conditionalFormatting>
  <conditionalFormatting sqref="M243:M249">
    <cfRule type="containsBlanks" dxfId="67" priority="70">
      <formula>LEN(TRIM(M243))=0</formula>
    </cfRule>
  </conditionalFormatting>
  <conditionalFormatting sqref="M173:N175 J173:J181">
    <cfRule type="containsBlanks" dxfId="66" priority="99">
      <formula>LEN(TRIM(J173))=0</formula>
    </cfRule>
  </conditionalFormatting>
  <conditionalFormatting sqref="N1:N171 N183:N187 N189:N196 N204:N210 N216:N219 N221:N226 N255:N260">
    <cfRule type="containsBlanks" dxfId="65" priority="58">
      <formula>LEN(TRIM(N1))=0</formula>
    </cfRule>
  </conditionalFormatting>
  <conditionalFormatting sqref="N176:N181">
    <cfRule type="containsBlanks" dxfId="64" priority="59">
      <formula>LEN(TRIM(N176))=0</formula>
    </cfRule>
  </conditionalFormatting>
  <conditionalFormatting sqref="N238:N245">
    <cfRule type="containsBlanks" dxfId="63" priority="76">
      <formula>LEN(TRIM(N238))=0</formula>
    </cfRule>
  </conditionalFormatting>
  <conditionalFormatting sqref="N272:N279">
    <cfRule type="containsBlanks" dxfId="62" priority="11">
      <formula>LEN(TRIM(N272))=0</formula>
    </cfRule>
  </conditionalFormatting>
  <conditionalFormatting sqref="O14:O19 O21:O26 O46 O95">
    <cfRule type="containsBlanks" dxfId="61" priority="130">
      <formula>LEN(TRIM(O14))=0</formula>
    </cfRule>
  </conditionalFormatting>
  <conditionalFormatting sqref="O155">
    <cfRule type="containsBlanks" dxfId="60" priority="116">
      <formula>LEN(TRIM(O155))=0</formula>
    </cfRule>
  </conditionalFormatting>
  <conditionalFormatting sqref="O238:O251">
    <cfRule type="containsBlanks" dxfId="59" priority="69">
      <formula>LEN(TRIM(O238))=0</formula>
    </cfRule>
  </conditionalFormatting>
  <conditionalFormatting sqref="O266:O275">
    <cfRule type="containsBlanks" dxfId="58" priority="29">
      <formula>LEN(TRIM(O266))=0</formula>
    </cfRule>
  </conditionalFormatting>
  <conditionalFormatting sqref="O1:R1 S21:S29 S34:S35 S37:S38 O41 S41 S55:S56 S82:S84 S87:S95 S97:S99 S105:S107 M105:M120 S111:S116 S118:S125 S127 S158 S160:S161">
    <cfRule type="containsBlanks" dxfId="57" priority="125">
      <formula>LEN(TRIM(M1))=0</formula>
    </cfRule>
  </conditionalFormatting>
  <conditionalFormatting sqref="O1:S1">
    <cfRule type="containsText" dxfId="56" priority="133" operator="containsText" text="PENDIENTE">
      <formula>NOT(ISERROR(SEARCH(("PENDIENTE"),(O1))))</formula>
    </cfRule>
  </conditionalFormatting>
  <conditionalFormatting sqref="Q272">
    <cfRule type="containsBlanks" dxfId="55" priority="42">
      <formula>LEN(TRIM(Q272))=0</formula>
    </cfRule>
    <cfRule type="containsText" dxfId="54" priority="43" operator="containsText" text="Sin Asignar">
      <formula>NOT(ISERROR(SEARCH("Sin Asignar",Q272)))</formula>
    </cfRule>
  </conditionalFormatting>
  <conditionalFormatting sqref="Q276:R276">
    <cfRule type="containsBlanks" dxfId="53" priority="24">
      <formula>LEN(TRIM(Q276))=0</formula>
    </cfRule>
    <cfRule type="containsText" dxfId="52" priority="25" operator="containsText" text="Sin Asignar">
      <formula>NOT(ISERROR(SEARCH("Sin Asignar",Q276)))</formula>
    </cfRule>
  </conditionalFormatting>
  <conditionalFormatting sqref="Q2:S54 Q109:S157 S55:S69 S71:S108 Q160:S161 Q55:R108">
    <cfRule type="containsBlanks" dxfId="51" priority="128">
      <formula>LEN(TRIM(Q2))=0</formula>
    </cfRule>
    <cfRule type="containsText" dxfId="50" priority="129" operator="containsText" text="Sin Asignar">
      <formula>NOT(ISERROR(SEARCH("Sin Asignar",Q2)))</formula>
    </cfRule>
  </conditionalFormatting>
  <conditionalFormatting sqref="Q172:S179">
    <cfRule type="containsBlanks" dxfId="49" priority="107">
      <formula>LEN(TRIM(Q172))=0</formula>
    </cfRule>
    <cfRule type="containsText" dxfId="48" priority="108" operator="containsText" text="Sin Asignar">
      <formula>NOT(ISERROR(SEARCH("Sin Asignar",Q172)))</formula>
    </cfRule>
  </conditionalFormatting>
  <conditionalFormatting sqref="Q180:S181">
    <cfRule type="containsBlanks" dxfId="47" priority="104">
      <formula>LEN(TRIM(Q180))=0</formula>
    </cfRule>
    <cfRule type="containsText" dxfId="46" priority="105" operator="containsText" text="Sin Asignar">
      <formula>NOT(ISERROR(SEARCH("Sin Asignar",Q180)))</formula>
    </cfRule>
  </conditionalFormatting>
  <conditionalFormatting sqref="Q197:S201">
    <cfRule type="containsBlanks" dxfId="45" priority="88">
      <formula>LEN(TRIM(Q197))=0</formula>
    </cfRule>
    <cfRule type="containsText" dxfId="44" priority="89" operator="containsText" text="Sin Asignar">
      <formula>NOT(ISERROR(SEARCH("Sin Asignar",Q197)))</formula>
    </cfRule>
  </conditionalFormatting>
  <conditionalFormatting sqref="Q238:S242">
    <cfRule type="containsBlanks" dxfId="43" priority="72">
      <formula>LEN(TRIM(Q238))=0</formula>
    </cfRule>
    <cfRule type="containsText" dxfId="42" priority="73" operator="containsText" text="Sin Asignar">
      <formula>NOT(ISERROR(SEARCH("Sin Asignar",Q238)))</formula>
    </cfRule>
  </conditionalFormatting>
  <conditionalFormatting sqref="Q277:S278">
    <cfRule type="containsBlanks" dxfId="41" priority="14">
      <formula>LEN(TRIM(Q277))=0</formula>
    </cfRule>
    <cfRule type="containsText" dxfId="40" priority="15" operator="containsText" text="Sin Asignar">
      <formula>NOT(ISERROR(SEARCH("Sin Asignar",Q277)))</formula>
    </cfRule>
  </conditionalFormatting>
  <conditionalFormatting sqref="Q279:S279">
    <cfRule type="containsBlanks" dxfId="39" priority="7">
      <formula>LEN(TRIM(Q279))=0</formula>
    </cfRule>
    <cfRule type="containsText" dxfId="38" priority="8" operator="containsText" text="Sin Asignar">
      <formula>NOT(ISERROR(SEARCH("Sin Asignar",Q279)))</formula>
    </cfRule>
  </conditionalFormatting>
  <conditionalFormatting sqref="S1:S19 E1:E41 P2:P281 F6:G7 F8 O8:O11 F9:G11 F12:F13 F14:G16 F17 F18:G20 F21 F22:G22 F23 F24:G26 F27:F28 F29:G32 E154:E159 G155:G159 G162:G164 J162:J164 F162:F169 M162:M169 C162:C172 G239:H240 H241 G242:H242">
    <cfRule type="containsBlanks" dxfId="37" priority="127">
      <formula>LEN(TRIM(C1))=0</formula>
    </cfRule>
  </conditionalFormatting>
  <conditionalFormatting sqref="S43:S51">
    <cfRule type="containsBlanks" dxfId="36" priority="124">
      <formula>LEN(TRIM(S43))=0</formula>
    </cfRule>
  </conditionalFormatting>
  <conditionalFormatting sqref="S58:S80">
    <cfRule type="containsBlanks" dxfId="35" priority="119">
      <formula>LEN(TRIM(S58))=0</formula>
    </cfRule>
  </conditionalFormatting>
  <conditionalFormatting sqref="S102:S103">
    <cfRule type="containsBlanks" dxfId="34" priority="123">
      <formula>LEN(TRIM(S102))=0</formula>
    </cfRule>
  </conditionalFormatting>
  <conditionalFormatting sqref="S163">
    <cfRule type="containsBlanks" dxfId="33" priority="120">
      <formula>LEN(TRIM(S163))=0</formula>
    </cfRule>
    <cfRule type="containsBlanks" dxfId="32" priority="121">
      <formula>LEN(TRIM(S163))=0</formula>
    </cfRule>
    <cfRule type="containsText" dxfId="31" priority="122" operator="containsText" text="Sin Asignar">
      <formula>NOT(ISERROR(SEARCH("Sin Asignar",S163)))</formula>
    </cfRule>
  </conditionalFormatting>
  <conditionalFormatting sqref="S172:S181">
    <cfRule type="containsBlanks" dxfId="30" priority="106">
      <formula>LEN(TRIM(S172))=0</formula>
    </cfRule>
  </conditionalFormatting>
  <conditionalFormatting sqref="S197:S201">
    <cfRule type="containsBlanks" dxfId="29" priority="87">
      <formula>LEN(TRIM(S197))=0</formula>
    </cfRule>
  </conditionalFormatting>
  <conditionalFormatting sqref="S276">
    <cfRule type="containsBlanks" dxfId="28" priority="19">
      <formula>LEN(TRIM(S276))=0</formula>
    </cfRule>
    <cfRule type="containsText" dxfId="27" priority="20" operator="containsText" text="Sin Asignar">
      <formula>NOT(ISERROR(SEARCH("Sin Asignar",S276)))</formula>
    </cfRule>
  </conditionalFormatting>
  <conditionalFormatting sqref="S277:S279">
    <cfRule type="containsBlanks" dxfId="26" priority="13">
      <formula>LEN(TRIM(S277))=0</formula>
    </cfRule>
  </conditionalFormatting>
  <dataValidations disablePrompts="1" count="2">
    <dataValidation type="list" allowBlank="1" showInputMessage="1" showErrorMessage="1" sqref="I2:I281" xr:uid="{23D2888B-0456-4EA7-8167-4950A603DCBD}">
      <formula1>"Activo, Inactivo"</formula1>
    </dataValidation>
    <dataValidation allowBlank="1" showInputMessage="1" showErrorMessage="1" sqref="R172:R181 R8:R164 R198:R201 S1:S69 R238:R242 R276:S276 S71:S275 R277:R279 S277:S1048576" xr:uid="{E5E6E63A-C4B0-4434-B1C4-2CFF490BE3EA}"/>
  </dataValidations>
  <hyperlinks>
    <hyperlink ref="J272" r:id="rId1" xr:uid="{43DF6EFF-D36C-486F-B824-F88241FD97D4}"/>
    <hyperlink ref="K272" r:id="rId2" xr:uid="{87BF78C6-B716-4FEF-86E7-5825762E57A2}"/>
    <hyperlink ref="J6" r:id="rId3" xr:uid="{5C3D2555-936B-4821-971D-8B0FDECC0B50}"/>
    <hyperlink ref="K6" r:id="rId4" xr:uid="{87B2B2AB-DCC4-4632-80AA-E6B64A7F26A3}"/>
    <hyperlink ref="J44" r:id="rId5" xr:uid="{4D1021A0-AF2A-4071-94D3-29D176DA8363}"/>
    <hyperlink ref="K44" r:id="rId6" xr:uid="{B4D885AC-6E43-4306-9AE1-C6F227E69F35}"/>
    <hyperlink ref="J19" r:id="rId7" xr:uid="{E0E2E4F7-4D9A-45FA-A6AD-7221956B3614}"/>
    <hyperlink ref="K19" r:id="rId8" xr:uid="{2A3BDF65-A788-4BF1-94A7-5A097DD23938}"/>
    <hyperlink ref="J83" r:id="rId9" xr:uid="{7DB65E08-FDC5-4564-A35B-6CF478D8022F}"/>
    <hyperlink ref="K83" r:id="rId10" xr:uid="{85A66569-54BB-44DB-9FA7-DC024AC059C7}"/>
    <hyperlink ref="J20" r:id="rId11" xr:uid="{058EE2EC-D548-4AE9-83B1-6C16EE6FF706}"/>
    <hyperlink ref="K20" r:id="rId12" xr:uid="{AEE5D918-EF06-4127-B45D-F129B73A5514}"/>
    <hyperlink ref="J14" r:id="rId13" xr:uid="{58F47C5C-C8D4-4DDC-804E-827206D25D92}"/>
    <hyperlink ref="J27" r:id="rId14" xr:uid="{CD3F118B-4A6F-4C79-BF1E-1C17D02B5456}"/>
    <hyperlink ref="K27" r:id="rId15" xr:uid="{9D81A830-5C2C-487F-942F-266F138A83A2}"/>
    <hyperlink ref="J22" r:id="rId16" xr:uid="{2148206F-2088-4D36-BAB4-2B8B2EAFDEB3}"/>
    <hyperlink ref="K22" r:id="rId17" xr:uid="{918152E5-1183-47EE-9FBD-B814B5408309}"/>
    <hyperlink ref="J273" r:id="rId18" xr:uid="{43719697-18C6-4C33-8042-94B51A65C8E2}"/>
    <hyperlink ref="K273" r:id="rId19" xr:uid="{C0FCB475-A80A-4AD1-99EE-73321BDCCBAF}"/>
    <hyperlink ref="J99" r:id="rId20" xr:uid="{784B0EFD-4B79-457A-A1DC-7DFD2ECED279}"/>
    <hyperlink ref="K99" r:id="rId21" xr:uid="{D9D43142-264A-4CF1-A39C-3887148122D2}"/>
    <hyperlink ref="M99" r:id="rId22" xr:uid="{E03132BE-360A-49E3-B99B-9A2470D88E77}"/>
    <hyperlink ref="J15" r:id="rId23" xr:uid="{016A28E2-2233-479C-BEBD-C6C2BF3DADAE}"/>
    <hyperlink ref="K15" r:id="rId24" xr:uid="{64CB2021-B4E0-494D-95AA-18115301E162}"/>
    <hyperlink ref="J25" r:id="rId25" xr:uid="{D2D84D8A-9F4A-4404-9873-688729366345}"/>
    <hyperlink ref="K25" r:id="rId26" xr:uid="{9D816DD6-8F91-43A3-968C-ED877C806C19}"/>
    <hyperlink ref="J28" r:id="rId27" xr:uid="{E9DECF19-EE10-483B-B9C1-63704236BD39}"/>
    <hyperlink ref="K28" r:id="rId28" xr:uid="{4BF006CE-F51A-405D-ACBD-8E7A55272A2D}"/>
    <hyperlink ref="J43" r:id="rId29" xr:uid="{A984B228-2992-4A2B-B46F-1AFDFEDEAA84}"/>
    <hyperlink ref="J274" r:id="rId30" xr:uid="{EC37A42E-5A8D-46AE-AD73-E983E042A575}"/>
    <hyperlink ref="J84" r:id="rId31" xr:uid="{FA2BE8E2-9423-43A6-B22F-B9D8E0DF2C59}"/>
    <hyperlink ref="J58" r:id="rId32" xr:uid="{EA46ECD5-4BD8-42F4-A973-C68FEE12C0DB}"/>
    <hyperlink ref="J24" r:id="rId33" xr:uid="{06FE54FA-0BCB-4C64-B9CF-F72E0D6FDC7C}"/>
    <hyperlink ref="J61" r:id="rId34" xr:uid="{76D808D7-1D0E-4F8E-AD09-7100748579BC}"/>
    <hyperlink ref="J38" r:id="rId35" xr:uid="{71FE22AF-66F1-4733-A015-0BD0AA05D3F8}"/>
    <hyperlink ref="J71" r:id="rId36" xr:uid="{83053CA1-254F-4962-A368-E75EF455E2B0}"/>
    <hyperlink ref="L280" r:id="rId37" display="steven.nino@blend360.com" xr:uid="{C123A047-EA6B-4C25-8FA4-6FBE95910830}"/>
    <hyperlink ref="M281" r:id="rId38" xr:uid="{82EE91F4-1DDF-452A-B7F1-A17CB845E360}"/>
    <hyperlink ref="M95" r:id="rId39" display="marcela.sanchez@blend360.com" xr:uid="{CB8C9789-9E82-4821-A143-66F507DFA45E}"/>
    <hyperlink ref="L48" r:id="rId40" display="juan.bernal@blend360.com" xr:uid="{E6A523BA-C424-4B9D-9DC2-2E2B485E3CA5}"/>
    <hyperlink ref="L276" r:id="rId41" display="carolina.aleman@blend360.com" xr:uid="{4FD8A01C-50AD-4E9B-B0CB-CAE566D59552}"/>
    <hyperlink ref="M30" r:id="rId42" display="alejandra.gomez@blend360.com" xr:uid="{C94D17C0-6B81-4F02-9050-E4048762BC02}"/>
    <hyperlink ref="M39" r:id="rId43" display="alejandra.gomez@blend360.com" xr:uid="{41F17F87-4C07-4233-AB6D-A2EAF3D824A8}"/>
    <hyperlink ref="M49" r:id="rId44" display="alejandra.gomez@blend360.com" xr:uid="{867C22B3-2005-47DB-8B3B-5C088BF5A8CD}"/>
    <hyperlink ref="M50" r:id="rId45" display="alejandra.gomez@blend360.com" xr:uid="{F65D007E-A7DE-48EE-B2B7-A4228A54A4F0}"/>
    <hyperlink ref="M51" r:id="rId46" display="alejandra.gomez@blend360.com" xr:uid="{8158F46A-6BA3-435F-A917-65ABD2235EEE}"/>
    <hyperlink ref="M52" r:id="rId47" display="alejandra.gomez@blend360.com" xr:uid="{0AE44F36-6146-4286-8509-475FB25E55E9}"/>
    <hyperlink ref="M78" r:id="rId48" display="alejandra.gomez@blend360.com" xr:uid="{4D0A6733-FDA6-4000-8FFA-AD9A937461DA}"/>
    <hyperlink ref="M80" r:id="rId49" display="alejandra.gomez@blend360.com" xr:uid="{3B274E1B-098F-4613-BCE2-74CD3AAC1967}"/>
    <hyperlink ref="M88" r:id="rId50" display="alejandra.gomez@blend360.com" xr:uid="{F2C79C69-EABE-4C04-86CF-F5E0C3057C66}"/>
    <hyperlink ref="M89" r:id="rId51" display="alejandra.gomez@blend360.com" xr:uid="{7ABA89E7-1317-469C-AA79-4A9D2D2DE649}"/>
    <hyperlink ref="M276" r:id="rId52" display="alejandra.gomez@blend360.com" xr:uid="{948245B0-72DB-41AF-A683-E358132CA79E}"/>
    <hyperlink ref="M67" r:id="rId53" display="alejandra.gomez@blend360.com" xr:uid="{67BAACB6-6CB5-440F-A241-49438B67609A}"/>
    <hyperlink ref="M40" r:id="rId54" display="alejandra.gomez@blend360.com" xr:uid="{71AB10C5-FFBC-4DC0-A181-02D6A7E87264}"/>
    <hyperlink ref="M18" r:id="rId55" display="alejandra.gomez@blend360.com" xr:uid="{165CDA33-8C04-4E4F-8280-089DECF60363}"/>
    <hyperlink ref="M17" r:id="rId56" display="alejandra.gomez@blend360.com" xr:uid="{9E3D6CEA-A44B-4E33-B25A-AA611D09544D}"/>
    <hyperlink ref="M16" r:id="rId57" display="alejandra.gomez@blend360.com" xr:uid="{AA2D47DD-F262-48F6-9467-7E8FB4FF125D}"/>
    <hyperlink ref="M48" r:id="rId58" xr:uid="{A68909BA-997F-4C83-905E-7ABA7FD9D705}"/>
    <hyperlink ref="M125" r:id="rId59" display="fernando.ortega@blend360.com" xr:uid="{2EB93474-A99A-445B-9448-4D2C2B153C51}"/>
    <hyperlink ref="L125" r:id="rId60" display="fernando.ortega@blend360.com" xr:uid="{BF564300-F0CF-4E82-B40A-A6F32C822BC4}"/>
    <hyperlink ref="M6" r:id="rId61" xr:uid="{2FD8BF8D-003B-4D94-9549-188FEA356308}"/>
    <hyperlink ref="M44" r:id="rId62" display="alejandra.gomez@blend360.com" xr:uid="{74DB8008-F68E-49C3-8BE3-2E369E62AA0A}"/>
    <hyperlink ref="M19" r:id="rId63" display="alejandra.gomez@blend360.com" xr:uid="{AF4F85A3-1EFD-4F0C-A755-2F50E3EF87D7}"/>
    <hyperlink ref="M83" r:id="rId64" xr:uid="{49236F99-7840-4870-BFC9-1ADFA50E0CDC}"/>
    <hyperlink ref="M20" r:id="rId65" xr:uid="{BBE9AF27-A793-4AAE-9174-ACB34A1E167C}"/>
    <hyperlink ref="N71" r:id="rId66" xr:uid="{DCA0AA2F-BFC5-4495-AEBF-3D3686FB2090}"/>
    <hyperlink ref="N95" r:id="rId67" xr:uid="{C15D832E-60AE-4596-9FB6-233AC2B60534}"/>
    <hyperlink ref="N20" r:id="rId68" display="Nocilas Revollo" xr:uid="{911D62B4-6C0D-4B5A-8E17-BCE0B1010817}"/>
    <hyperlink ref="N25" r:id="rId69" display="Nocilas Revollo" xr:uid="{83C4203A-BF99-42AE-A986-57F1A1D7A9C3}"/>
    <hyperlink ref="N30" r:id="rId70" display="Nocilas Revollo" xr:uid="{1AECC2F3-5D7E-4311-8B7E-CD7C593D841F}"/>
    <hyperlink ref="N32" r:id="rId71" display="Nocilas Revollo" xr:uid="{9A99F685-6272-4225-92EF-D1218D567442}"/>
    <hyperlink ref="N39" r:id="rId72" display="Nocilas Revollo" xr:uid="{04654225-44B9-47DB-991D-3EC280240EC9}"/>
    <hyperlink ref="N49" r:id="rId73" display="Nocilas Revollo" xr:uid="{552BF430-EDA6-44A8-8F6B-E5ADF5DA6309}"/>
    <hyperlink ref="N50" r:id="rId74" display="Nocilas Revollo" xr:uid="{53A76903-76D9-493F-B772-D70CC0D0D6D3}"/>
    <hyperlink ref="N51" r:id="rId75" display="Nocilas Revollo" xr:uid="{6E1D36B5-BDC7-4C5B-9C7B-C399CBE218E3}"/>
    <hyperlink ref="N52" r:id="rId76" display="Nocilas Revollo" xr:uid="{2BC3D580-9867-4902-998E-43A32ED8205D}"/>
    <hyperlink ref="N67" r:id="rId77" display="Nocilas Revollo" xr:uid="{AAB3C12F-4131-4ADE-BCCB-E6F3FD682E56}"/>
    <hyperlink ref="N78" r:id="rId78" display="Nocilas Revollo" xr:uid="{F066BBD0-8893-4E94-8342-077478468EEC}"/>
    <hyperlink ref="M15" r:id="rId79" display="alejandra.gomez@blend360.com" xr:uid="{4C5E9B8B-3079-4F46-9E3A-6FE7BFEB8B4B}"/>
    <hyperlink ref="M32" r:id="rId80" display="alejandra.gomez@blend360.com" xr:uid="{3C6621A3-759D-4659-98D6-3E416DAACD0A}"/>
    <hyperlink ref="M277" r:id="rId81" display="marcela.sanchez@blend360.com" xr:uid="{C5A061F4-C204-40B6-BAFE-308B8233CEDC}"/>
    <hyperlink ref="M280" r:id="rId82" xr:uid="{015C70D4-EB00-4D03-B8E2-17D86C8E0A3E}"/>
    <hyperlink ref="L58" r:id="rId83" display="juan.bernal@blend360.com" xr:uid="{8B949FCD-0329-4E7F-9A25-95195C038333}"/>
    <hyperlink ref="L84" r:id="rId84" display="juan.bernal@blend360.com" xr:uid="{26A3849F-0E92-48AF-A3D3-BEA14935A3F4}"/>
    <hyperlink ref="L43" r:id="rId85" display="juan.bernal@blend360.com" xr:uid="{5B70FB49-5C08-4E78-A279-C38E7DCFDAE4}"/>
    <hyperlink ref="M55" r:id="rId86" xr:uid="{6CB56284-ACB7-4D4F-9A93-FF4D1922CFDF}"/>
    <hyperlink ref="M57" r:id="rId87" xr:uid="{1A97F0F7-F9AA-40CA-BF2A-7FC3719A7E10}"/>
    <hyperlink ref="M14" r:id="rId88" display="alejandra.gomez@blend360.com" xr:uid="{D2CAA8D3-2A61-463E-993B-E8618BDF82ED}"/>
    <hyperlink ref="M27" r:id="rId89" display="alejandra.gomez@blend360.com" xr:uid="{308DDBA3-5669-4C2D-9C60-2C3273D3045F}"/>
    <hyperlink ref="M43" r:id="rId90" xr:uid="{C5E93286-7B41-4CE5-87D8-6637FF29B555}"/>
    <hyperlink ref="M84" r:id="rId91" display="marcela.sanchez@blend360.com" xr:uid="{2A5485BE-BB41-4AB4-8412-09D2C51BC3A2}"/>
    <hyperlink ref="M58" r:id="rId92" display="marcela.sanchez@blend360.com" xr:uid="{AAEBF44F-8143-4B82-A61B-71BF9434C91C}"/>
    <hyperlink ref="M24" r:id="rId93" display="marcela.sanchez@blend360.com" xr:uid="{B626A577-A767-445B-AF16-7B2B0FBCF574}"/>
    <hyperlink ref="M61" r:id="rId94" display="alejandra.gomez@blend360.com" xr:uid="{F339F868-1D0F-4E22-9221-8B5062BC4D02}"/>
    <hyperlink ref="M71" r:id="rId95" xr:uid="{52CE823C-5D54-499D-8ED1-2B72B0F1DBC6}"/>
    <hyperlink ref="M11" r:id="rId96" xr:uid="{F1F4318B-A8CB-4C31-9397-0B078ADC1461}"/>
    <hyperlink ref="M66" r:id="rId97" xr:uid="{EA3B0A94-28AC-483F-A80D-DC74FBD27288}"/>
    <hyperlink ref="M274" r:id="rId98" xr:uid="{9736876E-C79B-45CD-AB0A-DDE51D3DEE7C}"/>
    <hyperlink ref="M273" r:id="rId99" xr:uid="{725717E8-67CA-4A16-8666-23178015C37D}"/>
    <hyperlink ref="M275" r:id="rId100" display="alejandra.gomez@blend360.com" xr:uid="{CC846B5B-120B-4710-AAB3-96B38197AA8E}"/>
    <hyperlink ref="M25" r:id="rId101" xr:uid="{F91FD8DC-813B-4EE7-A578-D2B3B33C0FB1}"/>
    <hyperlink ref="N28" r:id="rId102" display="Nocilas Revollo" xr:uid="{4AFB785C-1B19-4A7D-B23A-E386A7FDA9D4}"/>
    <hyperlink ref="M38" r:id="rId103" xr:uid="{0491F875-8231-444F-AA32-8832F39767F7}"/>
    <hyperlink ref="N38" r:id="rId104" xr:uid="{70ABFA61-B442-4395-9D07-11A1258BBEEA}"/>
    <hyperlink ref="N75" r:id="rId105" xr:uid="{C197F0A1-6183-4255-9CB7-0039BBBDB70E}"/>
    <hyperlink ref="M28" r:id="rId106" xr:uid="{3E79B756-604D-49C9-BF42-21AB6694D5E0}"/>
    <hyperlink ref="M22" r:id="rId107" display="marcela.sanchez@blend360.com" xr:uid="{8EE01B14-EAC0-444B-BB75-78A1A0EA640D}"/>
    <hyperlink ref="N48" r:id="rId108" xr:uid="{5727D2EB-774E-4836-9B9D-CFB11180BE26}"/>
    <hyperlink ref="N61" r:id="rId109" xr:uid="{55D8F679-AB20-4DDD-854B-FB26EC73D021}"/>
    <hyperlink ref="J95" r:id="rId110" display="NUVU - Proyectos - [P0347] - PON - IAPOL-G - IA Generativa - All Documents" xr:uid="{BDFD76FE-B52E-492D-BCA1-1447CC995B9F}"/>
    <hyperlink ref="M75" r:id="rId111" xr:uid="{6B420557-1654-45D8-BCC4-D5EC6D91F4F4}"/>
    <hyperlink ref="M79" r:id="rId112" display="alejandra.gomez@blend360.com" xr:uid="{2F860C92-5D66-409B-B227-8EA0ECBADF28}"/>
    <hyperlink ref="K88" r:id="rId113" xr:uid="{9D878026-F3A4-4DFE-B2E9-69F27E617590}"/>
    <hyperlink ref="N22" r:id="rId114" display="Nocilas Revollo" xr:uid="{2DB237BA-FC1C-4649-AAD1-824A148DE3F0}"/>
    <hyperlink ref="N99" r:id="rId115" xr:uid="{37AC6F23-AEB5-49AC-857D-96C1211123D9}"/>
    <hyperlink ref="N55" r:id="rId116" display="Nocilas Revollo" xr:uid="{EF117000-6E44-48D1-8609-327FD003BA33}"/>
    <hyperlink ref="N280" r:id="rId117" xr:uid="{3EB60E93-5451-40CB-8AE8-58C8D1B3D3CC}"/>
    <hyperlink ref="N19" r:id="rId118" xr:uid="{72DBE4D5-FFBE-43EF-9F34-F65BAE4AA8AE}"/>
    <hyperlink ref="M279" r:id="rId119" xr:uid="{142DB2F0-8BFB-4C5D-9538-607FCF9538D6}"/>
    <hyperlink ref="M8" r:id="rId120" xr:uid="{8F8FF417-3D81-4E3F-87EF-896EEAA19937}"/>
    <hyperlink ref="M278" r:id="rId121" xr:uid="{0B93102B-4815-4B05-87F0-6F53B90DD4A2}"/>
    <hyperlink ref="M272" r:id="rId122" xr:uid="{0616F4A8-80CE-4C2D-B28D-416E83676806}"/>
    <hyperlink ref="M98" r:id="rId123" xr:uid="{3D36A73A-6DF6-4F65-A80A-1BD13F69D826}"/>
    <hyperlink ref="N98" r:id="rId124" xr:uid="{3471BA3F-7675-46FF-A807-28188BE59E02}"/>
    <hyperlink ref="J98" r:id="rId125" xr:uid="{43EE5BE1-2C6F-4D32-BE42-F5E95CD5BC3B}"/>
    <hyperlink ref="K98" r:id="rId126" xr:uid="{D617880B-E7F0-4B4E-94FA-9C2B0AD23A50}"/>
    <hyperlink ref="J107" r:id="rId127" xr:uid="{D5322099-AC34-4501-8BC9-DC73DD6DA3BC}"/>
    <hyperlink ref="M107" r:id="rId128" xr:uid="{D73A76DD-FFFA-4ED2-8010-09F0C9D926EB}"/>
    <hyperlink ref="M87" r:id="rId129" display="marcela.sanchez@blend360.com" xr:uid="{07CB3ED4-ED0F-4DB0-8D60-D64E50C47512}"/>
    <hyperlink ref="L87" r:id="rId130" display="juan.bernal@blend360.com" xr:uid="{6F77747F-B369-4230-B823-D099E20ABA44}"/>
    <hyperlink ref="M110" r:id="rId131" display="alejandra.gomez@blend360.com" xr:uid="{46571CFA-3288-4086-899B-2A3CAF5251B2}"/>
    <hyperlink ref="N110" r:id="rId132" display="Nocilas Revollo" xr:uid="{B13C521E-AB7B-4768-BBD7-A99570B620DA}"/>
    <hyperlink ref="J110" r:id="rId133" xr:uid="{17D2A943-1A59-4550-BAD3-F26354B711E4}"/>
    <hyperlink ref="M103" r:id="rId134" xr:uid="{CA2133F3-61D5-44A1-8CDD-4DA2EF384C07}"/>
    <hyperlink ref="M111" r:id="rId135" display="alejandra.gomez@blend360.com" xr:uid="{065191AA-13EE-4F28-AC5D-94068A3D1FA5}"/>
    <hyperlink ref="N111" r:id="rId136" display="Nocilas Revollo" xr:uid="{F7399BE1-7D14-4E00-8D24-EAA83B5DFB00}"/>
    <hyperlink ref="J111" r:id="rId137" xr:uid="{2731A73C-297B-40A4-913E-FD2CC0572514}"/>
    <hyperlink ref="M115" r:id="rId138" display="alejandra.gomez@blend360.com" xr:uid="{FEC77797-2F87-4D31-BDE3-FDA081BF756C}"/>
    <hyperlink ref="N115" r:id="rId139" display="Nocilas Revollo" xr:uid="{B539E549-161C-45EF-9DFE-B24555163265}"/>
    <hyperlink ref="J115" r:id="rId140" xr:uid="{8D0F2567-AA4F-4D1E-AC8A-07648584AEAD}"/>
    <hyperlink ref="J91" r:id="rId141" xr:uid="{27A4D0F1-266F-442F-A6F5-53FD4C160280}"/>
    <hyperlink ref="M91" r:id="rId142" xr:uid="{E50AF50F-9988-477F-9CBC-132E2D47B69E}"/>
    <hyperlink ref="N91" r:id="rId143" display="Nocilas Revollo" xr:uid="{2CF7A356-3955-4C56-9B07-CE158E985C8E}"/>
    <hyperlink ref="J118" r:id="rId144" xr:uid="{0D333B43-540D-48F3-BFC6-03E4453A5829}"/>
    <hyperlink ref="M118" r:id="rId145" display="alejandra.gomez@blend360.com" xr:uid="{7EA2AFF2-F4F2-42D9-BA99-5C3EBAECEDEE}"/>
    <hyperlink ref="N118" r:id="rId146" display="Nocilas Revollo" xr:uid="{D985FA39-5322-44DD-AD56-E7BFF91F1AFC}"/>
    <hyperlink ref="J119" r:id="rId147" xr:uid="{EEA5B805-4EDF-4611-92DB-2243A80D5569}"/>
    <hyperlink ref="M119" r:id="rId148" display="alejandra.gomez@blend360.com" xr:uid="{F9AD5A77-9F06-4717-A213-A0941ECB3341}"/>
    <hyperlink ref="N119" r:id="rId149" display="Nocilas Revollo" xr:uid="{76DDCAE0-8B0D-45CE-8006-054644932CA2}"/>
    <hyperlink ref="M127" r:id="rId150" xr:uid="{4DE97B6E-EC1C-4966-99D5-949C5FE8E739}"/>
    <hyperlink ref="J127" r:id="rId151" xr:uid="{C48FAB97-B7D1-43EB-928B-57229FF97F02}"/>
    <hyperlink ref="M129" r:id="rId152" display="alejandra.gomez@blend360.com" xr:uid="{2BAFAA72-65F2-43C8-8DE3-F1E31BA7FE36}"/>
    <hyperlink ref="N129" r:id="rId153" display="Nocilas Revollo" xr:uid="{517A0987-C1C4-4010-9BF5-3FBCA161D36C}"/>
    <hyperlink ref="J129" r:id="rId154" xr:uid="{2AF0B3A8-322D-4B42-9E11-07E279CF9CDB}"/>
    <hyperlink ref="J131" r:id="rId155" xr:uid="{E4540606-C52B-49EB-B7CD-27AE28086CE3}"/>
    <hyperlink ref="J121" r:id="rId156" xr:uid="{48CBF3C8-1CFF-4064-BAE0-18116CC98EAE}"/>
    <hyperlink ref="M131" r:id="rId157" display="alejandra.gomez@blend360.com" xr:uid="{5AC96663-9962-417F-9FC8-64972FAD193D}"/>
    <hyperlink ref="N131" r:id="rId158" display="Nocilas Revollo" xr:uid="{082D6A0E-60A4-4D56-811F-17160A00453B}"/>
    <hyperlink ref="M121" r:id="rId159" display="alejandra.gomez@blend360.com" xr:uid="{8FA29ED7-16F1-4E6E-927B-190DDEE96665}"/>
    <hyperlink ref="N121" r:id="rId160" display="Nocilas Revollo" xr:uid="{C379CB59-A69D-4A65-94EB-338024EB30E0}"/>
    <hyperlink ref="J132" r:id="rId161" xr:uid="{5DA43264-FFD2-42DA-8BAF-6BE64DF915FC}"/>
    <hyperlink ref="M132" r:id="rId162" xr:uid="{911AD916-781E-4D67-BF09-B556798109B0}"/>
    <hyperlink ref="J5" r:id="rId163" xr:uid="{1D94E5BB-5064-48C1-897D-8844E091186A}"/>
    <hyperlink ref="K5" r:id="rId164" xr:uid="{B5F2DAF2-DC7E-49FD-AB08-B71F7F034FCD}"/>
    <hyperlink ref="M5" r:id="rId165" xr:uid="{CDD42E22-BB97-438A-B4F4-F76E302B53F9}"/>
    <hyperlink ref="J12" r:id="rId166" xr:uid="{083069D4-A0F2-4CBD-B8BD-256DB02C4BEE}"/>
    <hyperlink ref="K12" r:id="rId167" xr:uid="{497FBFAC-6483-4893-B876-C017DEA32770}"/>
    <hyperlink ref="M12" r:id="rId168" display="alejandra.gomez@blend360.com" xr:uid="{E7E88EB7-FFE7-4015-8619-88539E8CE8EE}"/>
    <hyperlink ref="J13" r:id="rId169" xr:uid="{8803306E-8053-459B-917C-A2F2A60BD0CD}"/>
    <hyperlink ref="M13" r:id="rId170" display="alejandra.gomez@blend360.com" xr:uid="{CAD4F1E1-8933-49B3-BBA9-72546A8751D3}"/>
    <hyperlink ref="J26" r:id="rId171" xr:uid="{61CF6305-8DC3-48CD-A08E-45EBF682F23A}"/>
    <hyperlink ref="K26" r:id="rId172" xr:uid="{57E8A747-22DC-46EB-9271-6070A4661B8F}"/>
    <hyperlink ref="M26" r:id="rId173" display="alejandra.gomez@blend360.com" xr:uid="{936C29EA-23BC-40DF-B38B-7F44C18681E4}"/>
    <hyperlink ref="J21" r:id="rId174" xr:uid="{13B8AAD2-332D-4F44-BFD5-51FCE784F622}"/>
    <hyperlink ref="K21" r:id="rId175" xr:uid="{60839178-AD7D-4BCF-B012-1371242E2B85}"/>
    <hyperlink ref="L21" r:id="rId176" display="juan.bernal@blend360.com" xr:uid="{7AC868B6-5C4D-4BBD-A5CF-5FBDAACCC2F6}"/>
    <hyperlink ref="M21" r:id="rId177" display="marcela.sanchez@blend360.com" xr:uid="{9EDFDCED-D3D1-46C9-B840-C1353E2FC74D}"/>
    <hyperlink ref="N21" r:id="rId178" display="Nocilas Revollo" xr:uid="{AA7F3098-E2D9-41D5-BBBC-6B9E87C1E830}"/>
    <hyperlink ref="J29" r:id="rId179" xr:uid="{6609C617-F9AF-4B4E-A56E-6EDE82F037B0}"/>
    <hyperlink ref="K29" r:id="rId180" xr:uid="{746D163D-660B-4943-A761-725FE2C66234}"/>
    <hyperlink ref="M29" r:id="rId181" xr:uid="{6FC35931-4675-4F1D-A740-04610A1E482D}"/>
    <hyperlink ref="J42" r:id="rId182" xr:uid="{C204E3CF-C997-4838-85EB-952D4932C8BF}"/>
    <hyperlink ref="L42" r:id="rId183" display="juan.bernal@blend360.com" xr:uid="{C1BABB3A-8044-49F2-8061-35D4803554CD}"/>
    <hyperlink ref="M42" r:id="rId184" xr:uid="{C8F3A57F-D9DF-45B0-93AA-7AC1322A3875}"/>
    <hyperlink ref="J41" r:id="rId185" xr:uid="{0281E826-FDE5-441F-8C08-6378F268E95E}"/>
    <hyperlink ref="L41" r:id="rId186" display="juan.bernal@blend360.com" xr:uid="{F4688BC7-2167-45D0-ABF3-AA091602A63D}"/>
    <hyperlink ref="M41" r:id="rId187" xr:uid="{4672D633-9417-42F5-B5E8-0D3FA48D90C4}"/>
    <hyperlink ref="J59" r:id="rId188" xr:uid="{3528B79E-5B28-4D4F-A398-AB4234274097}"/>
    <hyperlink ref="L59" r:id="rId189" display="juan.bernal@blend360.com" xr:uid="{7B042B2E-93C9-4782-A2E8-F5C2B85582AF}"/>
    <hyperlink ref="M59" r:id="rId190" display="alejandra.gomez@blend360.com" xr:uid="{399D63AB-744F-4408-A306-FF7FD1D95306}"/>
    <hyperlink ref="N59" r:id="rId191" xr:uid="{16AF87D3-80F7-4868-8FFA-672198364B04}"/>
    <hyperlink ref="J60" r:id="rId192" xr:uid="{62F598B7-F2E7-4B4B-AB29-B5018FD634EA}"/>
    <hyperlink ref="M60" r:id="rId193" display="alejandra.gomez@blend360.com" xr:uid="{72D75DAC-205F-4D99-99BC-B0EEA2B51E05}"/>
    <hyperlink ref="N60" r:id="rId194" xr:uid="{2B2D3F17-3C15-4C70-804D-066B6941D5E4}"/>
    <hyperlink ref="J37" r:id="rId195" xr:uid="{14AA9BED-CA5F-4E06-BE4D-6C786BE2F92D}"/>
    <hyperlink ref="M37" r:id="rId196" xr:uid="{BC3B6660-DC85-4939-8D49-92456F70E321}"/>
    <hyperlink ref="N37" r:id="rId197" xr:uid="{6B5F16E8-D88F-4E35-B969-A47771F5EDFB}"/>
    <hyperlink ref="J36" r:id="rId198" xr:uid="{E1FFA446-4C8B-4284-9D0E-1725603EFD9F}"/>
    <hyperlink ref="M36" r:id="rId199" xr:uid="{CB48FC70-6B47-44D7-B437-C88D2F604D2E}"/>
    <hyperlink ref="N36" r:id="rId200" xr:uid="{FB1D6B18-8DE0-476A-9292-489EBBE1B5FE}"/>
    <hyperlink ref="M56" r:id="rId201" xr:uid="{CFA2C869-F86D-40FC-A665-184A46BC061A}"/>
    <hyperlink ref="M65" r:id="rId202" xr:uid="{AEA1F41F-5F37-4A2F-B9C0-4F2DF4DC8097}"/>
    <hyperlink ref="M31" r:id="rId203" xr:uid="{E4B6C946-4C46-4D07-9CB0-BE50DA238041}"/>
    <hyperlink ref="M64" r:id="rId204" xr:uid="{DB65DDE3-FE5D-47EC-BF82-E368DDA53D34}"/>
    <hyperlink ref="M35" r:id="rId205" display="alejandra.gomez@blend360.com" xr:uid="{93FBEA0F-383F-4FB0-BD1E-4B94AA193137}"/>
    <hyperlink ref="N35" r:id="rId206" display="Nocilas Revollo" xr:uid="{9AB81580-9A5F-4553-922A-97C7D28AE27B}"/>
    <hyperlink ref="J23" r:id="rId207" xr:uid="{2AC2E94E-785A-471D-BF30-6F05E32F462E}"/>
    <hyperlink ref="M23" r:id="rId208" display="marcela.sanchez@blend360.com" xr:uid="{9C00332E-7F53-4D32-B610-2786A483BD14}"/>
    <hyperlink ref="N23" r:id="rId209" xr:uid="{A2CAF90D-5A55-4CA9-AC7D-1DB859274826}"/>
    <hyperlink ref="L23" r:id="rId210" xr:uid="{7A287736-22AC-4D0D-B9FB-6286646B930E}"/>
    <hyperlink ref="M54" r:id="rId211" xr:uid="{29CD929E-FD6B-44FD-9D9B-3DE71C3299F5}"/>
    <hyperlink ref="N54" r:id="rId212" display="Nocilas Revollo" xr:uid="{AEF37F3C-6913-4146-BE49-C75C3B8E8595}"/>
    <hyperlink ref="M53" r:id="rId213" xr:uid="{98A48993-704E-49DF-9658-C3C41ECDD40C}"/>
    <hyperlink ref="N53" r:id="rId214" display="Nocilas Revollo" xr:uid="{C21C2C79-9059-4F78-9D40-21B917D1CBCD}"/>
    <hyperlink ref="J69" r:id="rId215" xr:uid="{5C608012-57C8-415C-B3BD-3972BE5FDF7D}"/>
    <hyperlink ref="N69" r:id="rId216" xr:uid="{5B0D9DAE-6CA0-46DC-9A28-9A85A39C8350}"/>
    <hyperlink ref="M69" r:id="rId217" xr:uid="{9050EED7-A811-40D2-9ECD-8D52F7354262}"/>
    <hyperlink ref="M10" r:id="rId218" xr:uid="{E5A07572-1132-44D5-9235-5786D840212C}"/>
    <hyperlink ref="M9" r:id="rId219" xr:uid="{B43D0C33-C275-431F-B693-65BEDC53D7C1}"/>
    <hyperlink ref="M62" r:id="rId220" display="marcela.sanchez@blend360.com" xr:uid="{645CF81A-586D-446D-A648-214767F20474}"/>
    <hyperlink ref="N73" r:id="rId221" xr:uid="{8DA6E48B-4EA3-479B-AFBA-1B353518A7F5}"/>
    <hyperlink ref="M73" r:id="rId222" xr:uid="{0188F43D-1C84-4046-8EC6-93A24D2301F0}"/>
    <hyperlink ref="N74" r:id="rId223" xr:uid="{EA0BCCBA-FB65-4F94-9098-8183DFCE010F}"/>
    <hyperlink ref="M74" r:id="rId224" xr:uid="{FEF5ED7D-65E2-407B-82F6-232AC4598FE7}"/>
    <hyperlink ref="M77" r:id="rId225" display="alejandra.gomez@blend360.com" xr:uid="{A3CF73CA-141C-4039-946D-7E3B44438BE5}"/>
    <hyperlink ref="N77" r:id="rId226" display="Nocilas Revollo" xr:uid="{E1E78600-B204-418E-8CB1-9350CDF9AED2}"/>
    <hyperlink ref="M76" r:id="rId227" display="alejandra.gomez@blend360.com" xr:uid="{1615F2E3-3A5C-4EFC-BCCD-FF561271D34C}"/>
    <hyperlink ref="N76" r:id="rId228" display="Nocilas Revollo" xr:uid="{EBEFBE0D-7A5A-4D53-A0CB-1906C4254B8C}"/>
    <hyperlink ref="N7" r:id="rId229" xr:uid="{B098E01C-5D05-4086-8A9D-FA19A7077E2F}"/>
    <hyperlink ref="M7" r:id="rId230" xr:uid="{70622949-EF58-4E88-8E61-9E6722B9FD06}"/>
    <hyperlink ref="M82" r:id="rId231" display="marcela.sanchez@blend360.com" xr:uid="{3542BF6D-7950-461A-A9FC-628C42167934}"/>
    <hyperlink ref="L82" r:id="rId232" display="juan.bernal@blend360.com" xr:uid="{6523AC0F-B6D1-4713-A15E-C60B567C3E08}"/>
    <hyperlink ref="M85" r:id="rId233" display="marcela.sanchez@blend360.com" xr:uid="{92B1253A-A7C2-4314-BEFF-D66BE48826BC}"/>
    <hyperlink ref="L85" r:id="rId234" display="juan.bernal@blend360.com" xr:uid="{0FD7AD27-F299-4743-8B34-B84CABEA211E}"/>
    <hyperlink ref="M86" r:id="rId235" display="marcela.sanchez@blend360.com" xr:uid="{D8D6DD59-ADE2-4BA4-987C-5921AB2E8960}"/>
    <hyperlink ref="L86" r:id="rId236" display="juan.bernal@blend360.com" xr:uid="{F1DE9721-80AA-437E-8041-06371E473F74}"/>
    <hyperlink ref="L47" r:id="rId237" display="juan.bernal@blend360.com" xr:uid="{A1028F15-B3A4-4F32-BC50-287C3B6A5140}"/>
    <hyperlink ref="M47" r:id="rId238" xr:uid="{C013177A-322D-4D43-A731-8B2AC63D5399}"/>
    <hyperlink ref="N47" r:id="rId239" xr:uid="{544CD15E-830E-4FA3-A8C3-2AB6A4A84E31}"/>
    <hyperlink ref="L46" r:id="rId240" display="juan.bernal@blend360.com" xr:uid="{CDD42F10-ED0C-4707-A32A-77004DC217C6}"/>
    <hyperlink ref="M46" r:id="rId241" xr:uid="{5C5BAD8B-ACD4-4836-AB07-1508052FFC5A}"/>
    <hyperlink ref="N46" r:id="rId242" xr:uid="{3EFC1A2F-E23F-4297-A5A1-E7C2C935686B}"/>
    <hyperlink ref="L45" r:id="rId243" display="juan.bernal@blend360.com" xr:uid="{17770200-7E8F-4E2B-B050-1D9CE0E7ADCA}"/>
    <hyperlink ref="M45" r:id="rId244" xr:uid="{E6011522-029F-4130-8AFE-3FCA8E5A1EC8}"/>
    <hyperlink ref="N45" r:id="rId245" xr:uid="{653DF3F9-9CD2-421E-8244-9BDD4C8E6343}"/>
    <hyperlink ref="M92" r:id="rId246" display="marcela.sanchez@blend360.com" xr:uid="{730A8B0D-F2FE-439C-952F-4A78BA4F2305}"/>
    <hyperlink ref="N92" r:id="rId247" xr:uid="{532955D0-3B3F-4E97-880E-6370444782E6}"/>
    <hyperlink ref="J92" r:id="rId248" display="NUVU - Proyectos - [P0347] - PON - IAPOL-G - IA Generativa - All Documents" xr:uid="{2433E495-52F6-4620-8D8F-6E99152A4C52}"/>
    <hyperlink ref="M93" r:id="rId249" display="marcela.sanchez@blend360.com" xr:uid="{6741B5E3-19B3-4B59-B9DC-AE4FC1EB631A}"/>
    <hyperlink ref="N93" r:id="rId250" xr:uid="{4500A9FE-D987-46B6-95A1-1BD9D666B9C0}"/>
    <hyperlink ref="J93" r:id="rId251" display="NUVU - Proyectos - [P0347] - PON - IAPOL-G - IA Generativa - All Documents" xr:uid="{EFC67455-14D5-4066-BAB1-9B1B13B14BB1}"/>
    <hyperlink ref="M97" r:id="rId252" xr:uid="{C140BDDA-9F32-495F-85AB-72035B34F755}"/>
    <hyperlink ref="N97" r:id="rId253" xr:uid="{9CA2EDF2-6E18-495D-979D-0C6AB8C73AE6}"/>
    <hyperlink ref="J97" r:id="rId254" xr:uid="{894C3E07-3625-45CF-B6D5-F6CB5B42D3CE}"/>
    <hyperlink ref="K97" r:id="rId255" xr:uid="{22E6C0AA-0982-41D3-B93A-DC6A489D3F6D}"/>
    <hyperlink ref="J106" r:id="rId256" xr:uid="{A0AD48F9-FCE4-41CA-A978-037789C10820}"/>
    <hyperlink ref="M106" r:id="rId257" xr:uid="{FEC17E1D-46E5-4BC2-9E00-7FEEF1110B51}"/>
    <hyperlink ref="J105" r:id="rId258" xr:uid="{06FF71A8-3A31-496E-898B-5E3A0E735118}"/>
    <hyperlink ref="M105" r:id="rId259" xr:uid="{B5441E5F-8FFD-49C1-8DBE-848E8A27DF5E}"/>
    <hyperlink ref="J104" r:id="rId260" xr:uid="{4C349C1D-9644-430A-91C7-9F966EE85651}"/>
    <hyperlink ref="M104" r:id="rId261" xr:uid="{6DE6A695-273F-4405-8107-ECB5C00D1D19}"/>
    <hyperlink ref="M109" r:id="rId262" display="alejandra.gomez@blend360.com" xr:uid="{A84F6301-7938-42C3-A2EE-256B9FED33EB}"/>
    <hyperlink ref="N109" r:id="rId263" display="Nocilas Revollo" xr:uid="{7A2373C1-F3E7-4E5C-BC03-7097CB0720BD}"/>
    <hyperlink ref="J109" r:id="rId264" xr:uid="{CAD9EB7F-A8B3-4EB3-8867-126AB82F6FB8}"/>
    <hyperlink ref="M101" r:id="rId265" xr:uid="{2491DD59-B292-4BE0-AF37-86327D172913}"/>
    <hyperlink ref="M102" r:id="rId266" xr:uid="{E6BE8904-DB3A-4DBC-9275-C571506820D2}"/>
    <hyperlink ref="J90" r:id="rId267" xr:uid="{682A8C3E-5AE3-454C-8E6A-A91D3DE7F616}"/>
    <hyperlink ref="M90" r:id="rId268" xr:uid="{0488E443-9581-44F6-B69D-54311FAD4C5A}"/>
    <hyperlink ref="N90" r:id="rId269" display="Nocilas Revollo" xr:uid="{0FD37267-D163-4C1D-9D0A-A89501FACDE3}"/>
    <hyperlink ref="M126" r:id="rId270" xr:uid="{CCBAE328-050F-4F08-A78F-FECEF406F417}"/>
    <hyperlink ref="J126" r:id="rId271" xr:uid="{51AC678C-F101-41B3-AB53-55DCC2DD4851}"/>
    <hyperlink ref="M123" r:id="rId272" xr:uid="{77A4AB19-8109-48D9-A410-25EDB92DB9BD}"/>
    <hyperlink ref="J123" r:id="rId273" xr:uid="{E085BAFA-64E7-4CDD-BA37-02A7F136A6AC}"/>
    <hyperlink ref="M122" r:id="rId274" xr:uid="{15738E6E-005F-4CC3-A053-2CB543C0A403}"/>
    <hyperlink ref="K122" r:id="rId275" xr:uid="{07FFB37E-B4AD-4EF4-8E52-9BB1990B1EE3}"/>
    <hyperlink ref="J122" r:id="rId276" xr:uid="{BFBACCDB-AC93-4814-80A4-08A5E04353F2}"/>
    <hyperlink ref="M128" r:id="rId277" display="alejandra.gomez@blend360.com" xr:uid="{B523CC5C-9068-4FE8-8F9D-88D82C89FAC8}"/>
    <hyperlink ref="N128" r:id="rId278" display="Nocilas Revollo" xr:uid="{F6384F4C-A3B7-466C-A359-2869AE734BF2}"/>
    <hyperlink ref="J128" r:id="rId279" xr:uid="{53F534D9-48EA-48DA-BEC8-497C1BE8A41F}"/>
    <hyperlink ref="J130" r:id="rId280" xr:uid="{CC2FD197-D10D-4856-8B31-DD807750F996}"/>
    <hyperlink ref="M130" r:id="rId281" display="alejandra.gomez@blend360.com" xr:uid="{A6C7BA63-9BA1-4C80-9BE4-170EA3B61D7E}"/>
    <hyperlink ref="N130" r:id="rId282" display="Nocilas Revollo" xr:uid="{E4FB0689-9A6E-4EF4-80A5-65587B78D052}"/>
    <hyperlink ref="J133" r:id="rId283" display="https://drive.google.com/drive/u/0/folders/1MGBfD6Vh5uYbROYUHEcdv1tOwFqXfkxx" xr:uid="{122FD767-1105-4218-BD29-0FC26B9714CC}"/>
    <hyperlink ref="M133" r:id="rId284" display="mailto:ciliana.capera@blend360.com" xr:uid="{DD723B16-694B-4B9E-965F-6E06A24DA32F}"/>
    <hyperlink ref="J135" r:id="rId285" xr:uid="{1E5EDB76-1253-47BD-A8AC-F92B9BA76CB1}"/>
    <hyperlink ref="L135" r:id="rId286" display="juan.bernal@blend360.com" xr:uid="{C10B76D0-3E46-4F78-8FC3-F0A6BAA81C40}"/>
    <hyperlink ref="M135" r:id="rId287" display="marcela.sanchez@blend360.com" xr:uid="{D95C273F-20A0-4AA4-A091-B831D8A54E5F}"/>
    <hyperlink ref="J136" r:id="rId288" xr:uid="{8DF19844-9AF7-406C-8882-614AC1AD3E9F}"/>
    <hyperlink ref="L136" r:id="rId289" display="juan.bernal@blend360.com" xr:uid="{AA35EAFF-40ED-46C4-A76D-75EF79421B1F}"/>
    <hyperlink ref="M136" r:id="rId290" display="marcela.sanchez@blend360.com" xr:uid="{A999E7AB-7FEB-4CE1-B5B4-24D5FEC47642}"/>
    <hyperlink ref="M63" r:id="rId291" display="marcela.sanchez@blend360.com" xr:uid="{97C402F5-4011-487A-8FB1-CBFA76432205}"/>
    <hyperlink ref="M94" r:id="rId292" display="marcela.sanchez@blend360.com" xr:uid="{4213C33D-9122-447F-815A-7278D4DBE7F1}"/>
    <hyperlink ref="N94" r:id="rId293" xr:uid="{B9F9E874-A6B7-4E71-9BD8-1BBCFAC545D8}"/>
    <hyperlink ref="J94" r:id="rId294" display="NUVU - Proyectos - [P0347] - PON - IAPOL-G - IA Generativa - All Documents" xr:uid="{CC556FF8-0B34-44BC-A10C-3CF8B59B9DF2}"/>
    <hyperlink ref="M162:M164" r:id="rId295" display="alejandra.gomez@blend360.com" xr:uid="{5CBFAD30-0A16-4364-911A-46F58FFFE587}"/>
    <hyperlink ref="N102" r:id="rId296" xr:uid="{504B49CC-6575-4339-A32E-743FC3333641}"/>
    <hyperlink ref="N29" r:id="rId297" display="Nocilas Revollo" xr:uid="{196F9AAE-EA7E-426E-B8F0-8B3A969916F7}"/>
    <hyperlink ref="N133" r:id="rId298" display="Nocilas Revollo" xr:uid="{604CAF7C-8855-4A11-AD72-424E1D06EB1B}"/>
    <hyperlink ref="N132" r:id="rId299" display="Nocilas Revollo" xr:uid="{00E04623-553B-4025-B751-3A3386A3933A}"/>
    <hyperlink ref="L24" r:id="rId300" xr:uid="{019092BA-00C1-4AA9-AEF3-C3109656F801}"/>
    <hyperlink ref="M68" r:id="rId301" display="alejandra.gomez@blend360.com" xr:uid="{5601E8DE-2BA7-4CC8-A472-5A3B2A3A2BCE}"/>
    <hyperlink ref="J137" r:id="rId302" xr:uid="{86E6DF44-32E7-4C65-82E2-7F8CA4103CD5}"/>
    <hyperlink ref="J138" r:id="rId303" xr:uid="{AA74F5A2-E421-446E-A702-F8A0A1CC3BB5}"/>
    <hyperlink ref="J139" r:id="rId304" xr:uid="{3E0E9988-8F89-49E7-8E86-2725C8DBCFB8}"/>
    <hyperlink ref="M137" r:id="rId305" display="alejandra.gomez@blend360.com" xr:uid="{E89167DD-4F97-40C0-ADC2-E39E0AB5C149}"/>
    <hyperlink ref="J140" r:id="rId306" xr:uid="{C15CF967-0034-47BE-A052-BFFDE0757037}"/>
    <hyperlink ref="L133:L134" r:id="rId307" display="Diana Rojas" xr:uid="{D12D0124-2C20-4EA1-BFAA-D385450C5EDC}"/>
    <hyperlink ref="L155" r:id="rId308" display="juan.bernal@blend360.com" xr:uid="{52040F86-A31A-43B8-A7F9-FCAFAC6B2999}"/>
    <hyperlink ref="M155" r:id="rId309" xr:uid="{DF17F6FD-4D17-498F-82CE-6E7F0452EF5D}"/>
    <hyperlink ref="L143" r:id="rId310" display="juan.bernal@blend360.com" xr:uid="{678D7558-3D59-4376-82D6-C89B2088FC95}"/>
    <hyperlink ref="M143" r:id="rId311" xr:uid="{A7E42A4B-67C0-4B34-BAD8-4B364C6A4DBC}"/>
    <hyperlink ref="N143" r:id="rId312" xr:uid="{8E0A2B44-E8C1-4B74-B85B-CBB489F76562}"/>
    <hyperlink ref="L150" r:id="rId313" display="juan.bernal@blend360.com" xr:uid="{F9A66EDE-3E6E-4399-9D09-36D7191B7353}"/>
    <hyperlink ref="M150" r:id="rId314" xr:uid="{50A1AFE9-96FA-4DE8-8F59-F0F739022B59}"/>
    <hyperlink ref="N150" r:id="rId315" xr:uid="{51645F64-5858-4539-AB2E-785D1DB02E4F}"/>
    <hyperlink ref="L151" r:id="rId316" display="juan.bernal@blend360.com" xr:uid="{3BA3CBF1-4940-413A-94A6-A9679B9EF3C4}"/>
    <hyperlink ref="M151" r:id="rId317" xr:uid="{5B1DDA66-70A2-4280-B68D-9DCE7F6FB18C}"/>
    <hyperlink ref="N151" r:id="rId318" xr:uid="{9EF88E14-1776-4968-A263-E864B68B089C}"/>
    <hyperlink ref="L152" r:id="rId319" display="juan.bernal@blend360.com" xr:uid="{F604F292-04C9-43DE-A678-40FD18B4D4CE}"/>
    <hyperlink ref="M152" r:id="rId320" xr:uid="{D6930CB5-C069-4E44-A771-E753771E3D16}"/>
    <hyperlink ref="N152" r:id="rId321" xr:uid="{1C1DE6FE-2B40-4545-B183-E57326550922}"/>
    <hyperlink ref="L154" r:id="rId322" display="juan.bernal@blend360.com" xr:uid="{5B4483C7-7F18-452E-8D03-4E551BD44EF0}"/>
    <hyperlink ref="M154" r:id="rId323" xr:uid="{0CDE774A-EF29-4B7F-AD07-B69CBC04CEC5}"/>
    <hyperlink ref="N154" r:id="rId324" display="Moises Rojas" xr:uid="{1147A74F-033C-4885-A635-1B85F6FB0750}"/>
    <hyperlink ref="N155" r:id="rId325" display="Moises Rojas" xr:uid="{B71BF480-923F-4642-9F70-06A3D3074866}"/>
    <hyperlink ref="J70" r:id="rId326" xr:uid="{EF2A4710-00D2-44FF-BB74-336FCC31AB03}"/>
    <hyperlink ref="N70" r:id="rId327" xr:uid="{F7DB054F-1B8C-49EA-83CA-A46E6C928BB1}"/>
    <hyperlink ref="M70" r:id="rId328" xr:uid="{743AB69D-1670-48EE-B3A8-7A58234F5573}"/>
    <hyperlink ref="J108" r:id="rId329" xr:uid="{AE01EA5A-497B-47BF-87D5-D4C828D23BA2}"/>
    <hyperlink ref="M108" r:id="rId330" xr:uid="{B7C4B640-E262-4884-BEB9-1357AD0AA14D}"/>
    <hyperlink ref="M144" r:id="rId331" xr:uid="{C03B12CC-C4C8-4A99-9E8A-96B388E8EC33}"/>
    <hyperlink ref="M143:M147" r:id="rId332" display="Karen Arandia" xr:uid="{5CBE9319-4425-4BC1-88A2-224485CFCAA8}"/>
    <hyperlink ref="M139:M140" r:id="rId333" display="Daniela Muñoz" xr:uid="{75E594EE-4369-412F-9243-DC436EA4398A}"/>
    <hyperlink ref="M148:M152" r:id="rId334" display="Ciliana Capera" xr:uid="{55E0BF2D-A5C4-4051-828F-422CA9142738}"/>
    <hyperlink ref="N72" r:id="rId335" xr:uid="{39D9B7AC-7795-4CB6-B3CC-27B9DF558BC1}"/>
    <hyperlink ref="M72" r:id="rId336" xr:uid="{17DE57F8-73F4-4FCB-B70B-4C7F583A134E}"/>
    <hyperlink ref="N281" r:id="rId337" xr:uid="{5BD50665-D5FF-42BE-AC51-9AC5D019D853}"/>
    <hyperlink ref="M166" r:id="rId338" xr:uid="{1784B3E5-3100-48A0-9DE6-E0812A586168}"/>
    <hyperlink ref="M165:M169" r:id="rId339" display="Ciliana Capera" xr:uid="{80113A0E-92D8-4D3F-BF41-524661D9DEF3}"/>
    <hyperlink ref="L153" r:id="rId340" display="juan.bernal@blend360.com" xr:uid="{A1B2DEF5-41F2-4BFC-806C-DB6FFFBE7980}"/>
    <hyperlink ref="M153" r:id="rId341" xr:uid="{84B31366-5DE2-481F-A00A-C740913AB18A}"/>
    <hyperlink ref="N153" r:id="rId342" xr:uid="{611ACFB3-747F-45F1-8DA2-430551599FDF}"/>
    <hyperlink ref="J134" r:id="rId343" display="https://drive.google.com/drive/u/0/folders/1MGBfD6Vh5uYbROYUHEcdv1tOwFqXfkxx" xr:uid="{1AA7B99A-7FF6-4268-B2A0-305C6EFB16B6}"/>
    <hyperlink ref="M134" r:id="rId344" display="mailto:ciliana.capera@blend360.com" xr:uid="{6672BF43-A209-4DD3-ACF8-DA383881719D}"/>
    <hyperlink ref="N134" r:id="rId345" display="Nocilas Revollo" xr:uid="{2227F937-4ABF-44EF-A0A4-08B8C650E86C}"/>
    <hyperlink ref="L162" r:id="rId346" display="carolina.aleman@blend360.com" xr:uid="{53AD95F2-02B7-4C82-8DD5-DFB07524342B}"/>
    <hyperlink ref="L166:L167" r:id="rId347" display="carolina.aleman@blend360.com" xr:uid="{0BF04447-455C-4347-A133-59FA00DC7132}"/>
    <hyperlink ref="L30:L35" r:id="rId348" display="carolina.aleman@blend360.com" xr:uid="{69C28A19-B6DE-45D9-897A-9E1E45A60784}"/>
    <hyperlink ref="L40" r:id="rId349" display="carolina.aleman@blend360.com" xr:uid="{E59A4CF2-E3BB-43D5-9D09-E0AC64018B03}"/>
    <hyperlink ref="L122" r:id="rId350" display="carolina.aleman@blend360.com" xr:uid="{17CCF715-4981-48D7-A20C-173523F23484}"/>
    <hyperlink ref="L94:L96" r:id="rId351" display="carolina.aleman@blend360.com" xr:uid="{1C5C53EC-17B7-4C61-A040-6100C0F60CD1}"/>
    <hyperlink ref="J174" r:id="rId352" xr:uid="{6802EDCB-02F8-43F5-9ED2-F9170C0C30A6}"/>
    <hyperlink ref="M174" r:id="rId353" display="alejandra.gomez@blend360.com" xr:uid="{343CD495-E06B-4520-BDB2-D1D12DAE1A3F}"/>
    <hyperlink ref="N174" r:id="rId354" xr:uid="{EC3789F5-4B08-4589-9FB9-C6F1ED450F39}"/>
    <hyperlink ref="J173" r:id="rId355" xr:uid="{0F89001E-AAEA-42F2-AFD1-4E4C06508E5F}"/>
    <hyperlink ref="M173" r:id="rId356" display="alejandra.gomez@blend360.com" xr:uid="{BB21A06E-963A-4900-819D-2E1066AFE3FB}"/>
    <hyperlink ref="N173" r:id="rId357" xr:uid="{ED3F5C94-D711-44D0-8C6F-76F03CE76D39}"/>
    <hyperlink ref="J172" r:id="rId358" xr:uid="{CC866465-78BF-46EE-81AD-AB7E0DCABC85}"/>
    <hyperlink ref="M172" r:id="rId359" display="alejandra.gomez@blend360.com" xr:uid="{81CC32AD-8076-486C-BEBA-51871F2DC1A9}"/>
    <hyperlink ref="N172" r:id="rId360" xr:uid="{DB5E2F37-F48E-46E9-B3EC-F872DCD846AD}"/>
    <hyperlink ref="M179" r:id="rId361" xr:uid="{BF4BCFEF-F52C-4722-A1BD-21C94E2F7633}"/>
    <hyperlink ref="M178" r:id="rId362" xr:uid="{46336BE0-664A-4650-841F-D5CB052C5FC0}"/>
    <hyperlink ref="M176" r:id="rId363" xr:uid="{816D8696-4628-4089-92E5-F2A40A6F9F50}"/>
    <hyperlink ref="M175" r:id="rId364" xr:uid="{B8638462-690E-45CD-9D85-C4FE998D29D1}"/>
    <hyperlink ref="M181" r:id="rId365" xr:uid="{0B9BAF36-15BC-463A-B89F-B8D2A2824E7A}"/>
    <hyperlink ref="M180" r:id="rId366" xr:uid="{DDB684D1-64E2-4E05-BE7C-15E1BBA157FA}"/>
    <hyperlink ref="K82" r:id="rId367" xr:uid="{D71752B5-A896-43D0-B5B2-B603E5A7885D}"/>
    <hyperlink ref="K64" r:id="rId368" xr:uid="{D8A0C86D-41BC-40AE-BBB1-39BDDAE66918}"/>
    <hyperlink ref="K31:K33" r:id="rId369" display="CTO 323 - 2024" xr:uid="{DF025612-1157-432C-A660-65633179639C}"/>
    <hyperlink ref="K20:K22" r:id="rId370" display="PO 7000020361 &amp; PO 7000021280" xr:uid="{FC0F5736-1DCD-4ED5-BEDA-16B57399B3AC}"/>
    <hyperlink ref="K67" r:id="rId371" xr:uid="{C982C98A-AFB5-4051-9388-56B58AE68118}"/>
    <hyperlink ref="K94:K96" r:id="rId372" display="OC 145303 - 20250425" xr:uid="{5F0BB295-3187-4CA2-B2DA-652638D66B0E}"/>
    <hyperlink ref="K135" r:id="rId373" xr:uid="{618A9D6D-A9CC-47A0-B06C-DC9BB76BF75B}"/>
    <hyperlink ref="K143" r:id="rId374" xr:uid="{26DDC8B6-3A4C-4A07-B684-0B74793D3049}"/>
    <hyperlink ref="K134:K136" r:id="rId375" display="ICFES-555-2025" xr:uid="{5661ED30-2C7D-4CF3-A1B6-9ABCE11C8B57}"/>
    <hyperlink ref="K153" r:id="rId376" xr:uid="{9A854EC3-BE6B-4CA8-8243-0D4603A9F9E2}"/>
    <hyperlink ref="K154" r:id="rId377" xr:uid="{ACBA16E2-FB66-4D7B-90CD-EB0282ECF873}"/>
    <hyperlink ref="K155" r:id="rId378" xr:uid="{BA9B75D4-F525-4DA2-ACD8-2B532B2BB9AD}"/>
    <hyperlink ref="K92" r:id="rId379" display="5. Documentos contractuales" xr:uid="{19C7164B-E4A7-4A96-8C1D-646F59514E84}"/>
    <hyperlink ref="K93" r:id="rId380" display="5. Documentos contractuales" xr:uid="{941E6AAD-E6F0-47E1-9B47-A04E4000C080}"/>
    <hyperlink ref="K94" r:id="rId381" display="5. Documentos contractuales" xr:uid="{6D14E957-66E0-4493-8A0B-AFBBDDF1BAB1}"/>
    <hyperlink ref="K95" r:id="rId382" display="5. Documentos contractuales" xr:uid="{287DAE18-D5C4-4AB7-8B0F-6147F2C40BC2}"/>
    <hyperlink ref="K105" r:id="rId383" display="5.Documentos Contractuales" xr:uid="{03CFC644-5660-4737-89E9-A501410447B2}"/>
    <hyperlink ref="K106" r:id="rId384" display="5.Documentos Contractuales" xr:uid="{07980116-697F-488B-A807-9972930019F8}"/>
    <hyperlink ref="K104" r:id="rId385" display="5.Documentos Contractuales" xr:uid="{650EC61D-411C-4879-8CBF-8A3BA104539B}"/>
    <hyperlink ref="K107" r:id="rId386" display="5.Documentos Contractuales" xr:uid="{4299EE45-63B9-46ED-A8CE-81FABE793D65}"/>
    <hyperlink ref="K108" r:id="rId387" display="5.Documentos Contractuales" xr:uid="{A97E675E-092F-4B32-9B75-17265B138AD7}"/>
    <hyperlink ref="K62" r:id="rId388" display="00. Administrativo" xr:uid="{67E53589-0FE5-4D71-8FEE-424A1EA6CB23}"/>
    <hyperlink ref="K63" r:id="rId389" display="00. Administrativo" xr:uid="{008DBC5B-08CA-4DC0-BF8B-1F281BDBFA53}"/>
    <hyperlink ref="K9" r:id="rId390" xr:uid="{8AB906F5-9CA5-429A-8D64-2198086F1DA0}"/>
    <hyperlink ref="K11:K12" r:id="rId391" display="Contrato No. 4134.010.26.1.0441-2024" xr:uid="{40CE2741-68E6-4506-8006-D648428F7146}"/>
    <hyperlink ref="K16" r:id="rId392" xr:uid="{3A17008F-1FDE-439D-BB11-9C3642C61522}"/>
    <hyperlink ref="K17" r:id="rId393" xr:uid="{0347E5C4-6E4F-4C19-A2FE-F81BCE0835BC}"/>
    <hyperlink ref="K18" r:id="rId394" xr:uid="{85C23569-6AAD-44FC-9F99-C1C0BCAC13FE}"/>
    <hyperlink ref="K36" r:id="rId395" xr:uid="{31BF27CE-2AE3-47A8-A331-E685B973B136}"/>
    <hyperlink ref="K37:K38" r:id="rId396" display="CONTRATO HIGH TECH SOFTWARE VF Final" xr:uid="{35501D9D-1007-41DA-BC51-678CC7470AA6}"/>
    <hyperlink ref="K141" r:id="rId397" xr:uid="{D51944E6-4CDF-44EA-A295-EEA81203B16E}"/>
    <hyperlink ref="K142" r:id="rId398" xr:uid="{91E161D4-7F14-4D2B-8233-4FAAFEFDB60F}"/>
    <hyperlink ref="K13" r:id="rId399" xr:uid="{7F649F3D-DF11-4CED-A558-7964E1C74850}"/>
    <hyperlink ref="K156" r:id="rId400" xr:uid="{BDD421AF-E037-4B0D-B6F0-12981F664D9B}"/>
    <hyperlink ref="K157" r:id="rId401" xr:uid="{99CC61B1-11BD-4376-A8A1-E3D8A44D155F}"/>
    <hyperlink ref="K69" r:id="rId402" xr:uid="{85499024-4F22-469D-AA9C-33F7256237AC}"/>
    <hyperlink ref="K70" r:id="rId403" xr:uid="{47D1BD89-A864-4B87-A90A-DFEEB7044052}"/>
    <hyperlink ref="K71" r:id="rId404" xr:uid="{42585B54-B6DA-40F9-AE70-3820B5FEE3A9}"/>
    <hyperlink ref="K72" r:id="rId405" xr:uid="{24BAB71B-FDD9-45A1-93B0-334290D9F684}"/>
    <hyperlink ref="K73" r:id="rId406" xr:uid="{558199BD-632F-4813-B338-ACFEC982D7A5}"/>
    <hyperlink ref="K145" r:id="rId407" xr:uid="{0CEA0907-D1D4-4E80-8094-06DDDBCB7FD7}"/>
    <hyperlink ref="K144:K147" r:id="rId408" display="PO-148314_v1_20250627" xr:uid="{435C70F7-BCFF-4797-A7E2-A2A66009B090}"/>
    <hyperlink ref="K67:K68" r:id="rId409" display="PO-140333_v1_20241227" xr:uid="{152F3B16-1F6D-4068-AD82-ACAA31B89BEA}"/>
    <hyperlink ref="K53" r:id="rId410" xr:uid="{910CA23D-A73A-4B52-823B-1EA3ADB457A6}"/>
    <hyperlink ref="K56:K57" r:id="rId411" display="NUVU - Proyectos - 01. Habilitacion - Todos los documentos" xr:uid="{A1968DD9-9C9A-4A46-A74F-915369D665DF}"/>
    <hyperlink ref="K56" r:id="rId412" xr:uid="{18D4DF34-D646-4B38-96C4-E11F56D720C1}"/>
    <hyperlink ref="K57" r:id="rId413" xr:uid="{A419230D-2DB7-48AA-9FA6-8805E2D94AFF}"/>
    <hyperlink ref="K137" r:id="rId414" xr:uid="{F717AB31-C748-419C-82D2-61CEA3082462}"/>
    <hyperlink ref="K138" r:id="rId415" xr:uid="{9BC36D32-2F78-46EC-A02A-E65C0D110C1E}"/>
    <hyperlink ref="K139" r:id="rId416" xr:uid="{86EFDEE5-64C0-4F76-82CC-1D8518F098F7}"/>
    <hyperlink ref="K140" r:id="rId417" xr:uid="{3E41D694-4A05-431A-8EC6-C3A8F4041107}"/>
    <hyperlink ref="K162" r:id="rId418" xr:uid="{280D3BD0-2AB1-475C-98F9-36A7C52997BA}"/>
    <hyperlink ref="K161" r:id="rId419" xr:uid="{EAA28EAB-1BED-4CEA-B097-87239F049A0D}"/>
    <hyperlink ref="K164" r:id="rId420" xr:uid="{39D4FF6B-9D1A-44DE-911D-09828BF3BD26}"/>
    <hyperlink ref="K50" r:id="rId421" xr:uid="{D48C0AA5-C29B-4B76-868F-B567BCE4D148}"/>
    <hyperlink ref="K35" r:id="rId422" xr:uid="{9889B5EA-C772-4AF0-989B-C0AFBE2654B4}"/>
    <hyperlink ref="K39" r:id="rId423" xr:uid="{347825BA-326D-48C2-A6E1-066D68174132}"/>
    <hyperlink ref="K76" r:id="rId424" xr:uid="{55155C74-323B-4F26-8E9E-63A242F4DD32}"/>
    <hyperlink ref="K77" r:id="rId425" xr:uid="{413BAE8E-0209-4923-8174-3C6D9F712A29}"/>
    <hyperlink ref="K78" r:id="rId426" xr:uid="{DE6A0398-1FE1-4FB2-BBD1-F939312C9B9D}"/>
    <hyperlink ref="K52" r:id="rId427" xr:uid="{D546B5C1-24D1-4DA0-B2BD-4351BBC6D651}"/>
    <hyperlink ref="K51" r:id="rId428" xr:uid="{D0057944-FF6F-469A-8E2F-ADA03651E909}"/>
    <hyperlink ref="K89" r:id="rId429" xr:uid="{B9391D11-B9DD-4C28-93F9-4228FEC92711}"/>
    <hyperlink ref="K30" r:id="rId430" xr:uid="{52DF4590-F437-448A-AB10-03937B63A33A}"/>
    <hyperlink ref="K32" r:id="rId431" xr:uid="{C4609D63-2B86-47B7-A91C-0BE52D824BCA}"/>
    <hyperlink ref="K109" r:id="rId432" xr:uid="{9C890259-391B-4B2C-99A5-6CCE41C93C0E}"/>
    <hyperlink ref="K110" r:id="rId433" xr:uid="{1696E329-5952-4228-A715-E5964A0E2D1D}"/>
    <hyperlink ref="K128" r:id="rId434" xr:uid="{9C5F368F-96C6-40B6-BBBE-44E8F0F162A1}"/>
    <hyperlink ref="K118" r:id="rId435" xr:uid="{B57BF1CB-CE1E-48F4-85E8-DD046D3AD690}"/>
    <hyperlink ref="K119" r:id="rId436" xr:uid="{D1114F36-5EFC-418C-9EF4-3D84BAD1DD65}"/>
    <hyperlink ref="K130" r:id="rId437" xr:uid="{1C2E124B-0E57-49AA-9FD0-D540D95E42BB}"/>
    <hyperlink ref="K131" r:id="rId438" xr:uid="{949B040D-2DCE-4553-BC52-DCE29BDD8B0A}"/>
    <hyperlink ref="K121" r:id="rId439" xr:uid="{688B4664-52ED-46EC-95D4-E8E6C2F3A90B}"/>
    <hyperlink ref="K111" r:id="rId440" xr:uid="{CDE217F9-0D17-40B7-8234-8A302BB703AD}"/>
    <hyperlink ref="K129" r:id="rId441" xr:uid="{CFE017F5-4B01-40B5-AA26-BABC559D2D74}"/>
    <hyperlink ref="K80" r:id="rId442" xr:uid="{3EE32FC9-DA65-4274-83FA-397614D64406}"/>
    <hyperlink ref="K171" r:id="rId443" xr:uid="{E42341BA-18EE-4C72-9D43-0FB64304113A}"/>
    <hyperlink ref="K170" r:id="rId444" xr:uid="{9E8EF968-C8E7-4B39-AAA1-A8E09F5586C2}"/>
    <hyperlink ref="K115" r:id="rId445" xr:uid="{247B49D5-476A-47C9-83DD-F331FAC3C091}"/>
    <hyperlink ref="K182" r:id="rId446" xr:uid="{3AFA3595-B016-464B-AEAB-155652FABF61}"/>
    <hyperlink ref="K183" r:id="rId447" xr:uid="{A7F83941-7F6B-42A3-BB16-19272FEF6473}"/>
    <hyperlink ref="K174" r:id="rId448" xr:uid="{74E7126D-5B69-4FCC-816F-16F4073E1B12}"/>
    <hyperlink ref="K173" r:id="rId449" xr:uid="{88841BFA-E039-4D17-ABF6-8999EECBFE27}"/>
    <hyperlink ref="K172" r:id="rId450" xr:uid="{09949FB7-827B-46F0-9E6D-236A1220E4AE}"/>
    <hyperlink ref="K198" r:id="rId451" xr:uid="{0F887604-3125-4C2A-8904-41A87591D8CD}"/>
    <hyperlink ref="K199" r:id="rId452" xr:uid="{1CF782CE-1DF3-4F70-A769-95225E385823}"/>
    <hyperlink ref="K200" r:id="rId453" xr:uid="{F8D9EF93-F85D-4915-86EA-91BE30BC6DAF}"/>
    <hyperlink ref="K201" r:id="rId454" xr:uid="{1FA80D5D-B5C5-4FB8-B77C-1C7291EAC0AF}"/>
    <hyperlink ref="K202" r:id="rId455" xr:uid="{1E512F84-371F-43DF-B469-8AC34EC86489}"/>
    <hyperlink ref="M203" r:id="rId456" xr:uid="{192F196B-5209-4EDE-A52B-D158210F5967}"/>
    <hyperlink ref="M204" r:id="rId457" xr:uid="{A76F5FFF-0D61-41C2-A53B-A6D690F83853}"/>
    <hyperlink ref="M205" r:id="rId458" xr:uid="{50F91672-A076-4171-9D4F-3BF7FB17F09D}"/>
    <hyperlink ref="M206" r:id="rId459" xr:uid="{DB5015EC-F77A-4D4A-BC94-47B2602B9820}"/>
    <hyperlink ref="K203" r:id="rId460" xr:uid="{166793CB-DFE0-4EFF-931C-22476316C8B3}"/>
    <hyperlink ref="K199:K201" r:id="rId461" display="[P2604] ACA - Hacienda a un Click" xr:uid="{35D82434-0F66-4063-8298-ECDADCC21518}"/>
    <hyperlink ref="K181" r:id="rId462" xr:uid="{5FECC19E-DEC7-47C5-B3A0-069792FBAC49}"/>
    <hyperlink ref="K179" r:id="rId463" xr:uid="{768303F2-82E5-4A6E-BC8F-C22C662F54A4}"/>
    <hyperlink ref="N203" r:id="rId464" xr:uid="{1E534CCE-E117-4B34-BCE1-762168EE5830}"/>
    <hyperlink ref="K33" r:id="rId465" xr:uid="{B1A712C7-F1DF-401B-9515-D0BDC98C518A}"/>
    <hyperlink ref="M33" r:id="rId466" display="alejandra.gomez@blend360.com" xr:uid="{0F4506A1-448F-4B7F-8E83-58B4C3D86940}"/>
    <hyperlink ref="N33" r:id="rId467" display="Nocilas Revollo" xr:uid="{6BAB77D8-4ADE-486C-9BF6-EE860D7AD5EE}"/>
    <hyperlink ref="K185" r:id="rId468" xr:uid="{F9FF02F7-DF0A-432D-A2F9-E6A8F9E5E760}"/>
    <hyperlink ref="K210" r:id="rId469" xr:uid="{4051167A-E2C3-4FB8-8009-B958DC614261}"/>
    <hyperlink ref="K205:K207" r:id="rId470" display="Icfes - Banco de Items" xr:uid="{3C88B18D-9E6A-42CE-94C7-51279777637C}"/>
    <hyperlink ref="K213" r:id="rId471" xr:uid="{D4FF3B86-EAA7-407D-B78E-897C1F918844}"/>
    <hyperlink ref="K209:K210" r:id="rId472" display="Operacion e infraestructura AWS" xr:uid="{4007EA0B-8BF9-408B-864D-3239726DEDDE}"/>
    <hyperlink ref="K217" r:id="rId473" xr:uid="{FEAC8564-DE89-4AE5-8DE7-38BC45ECC415}"/>
    <hyperlink ref="K216" r:id="rId474" xr:uid="{0E1BE274-D4E4-4FFA-9277-DDDAF2B26E64}"/>
    <hyperlink ref="K215" r:id="rId475" xr:uid="{256E8A8F-9757-44FF-9CF0-4ED6CC2F1F77}"/>
    <hyperlink ref="K214" r:id="rId476" xr:uid="{0E343B87-6C10-4BBF-BE7C-3FBFF7B1D6AB}"/>
    <hyperlink ref="K219" r:id="rId477" xr:uid="{913B566B-655F-4988-9795-226DF10A7C88}"/>
    <hyperlink ref="J219" r:id="rId478" xr:uid="{0218F07F-0BA8-49C7-B1DF-D6EAB2BE2FC8}"/>
    <hyperlink ref="J221" r:id="rId479" xr:uid="{A71865E5-6E58-4433-BAF5-2E82EB295C61}"/>
    <hyperlink ref="K221" r:id="rId480" xr:uid="{8BDA2CD0-BD32-46F2-8E6A-71A2A9209C36}"/>
    <hyperlink ref="K218" r:id="rId481" xr:uid="{9FA9744C-A054-4DED-A754-28A159F39196}"/>
    <hyperlink ref="J120" r:id="rId482" xr:uid="{CFAFF731-810A-4C9B-9244-2D87DF5894A4}"/>
    <hyperlink ref="M120" r:id="rId483" display="alejandra.gomez@blend360.com" xr:uid="{8878DB54-651B-479B-BD1A-E94633315935}"/>
    <hyperlink ref="K120" r:id="rId484" xr:uid="{44892144-747B-45A9-B4E3-39D27B667708}"/>
    <hyperlink ref="J225" r:id="rId485" xr:uid="{9419879B-BA67-4A6E-8A52-FA2F833DAA6E}"/>
    <hyperlink ref="J222:J223" r:id="rId486" display="NUVU - Proyectos - 01. Documentación Esencial - Todos los documentos" xr:uid="{F73BDD98-762A-4C69-AD74-0FC396BEAAD2}"/>
    <hyperlink ref="K225" r:id="rId487" xr:uid="{2A7A5C33-7B53-45E6-A954-914969F09874}"/>
    <hyperlink ref="K222:K223" r:id="rId488" display="NUVU - Proyectos - Documentos - [P0388] Servicio de Diseño e Implementación de Inteligencia de Negocios y Analítica - Todos los documentos" xr:uid="{1C3A8E14-8F66-47E3-85BB-B749EA389007}"/>
    <hyperlink ref="J117" r:id="rId489" xr:uid="{399D0EC7-3AB1-476B-8349-70A91A62978B}"/>
    <hyperlink ref="M117" r:id="rId490" display="alejandra.gomez@blend360.com" xr:uid="{7EA2F5AF-3A1E-45BC-9265-F84156ABB37E}"/>
    <hyperlink ref="K117" r:id="rId491" xr:uid="{7FFC05C6-1303-44D4-9679-A4589F4E4636}"/>
    <hyperlink ref="M116" r:id="rId492" display="alejandra.gomez@blend360.com" xr:uid="{243A2575-3C25-4FE9-AF08-FDD3EF6D2C3E}"/>
    <hyperlink ref="J116" r:id="rId493" xr:uid="{6570DF8F-0033-4B58-8782-D43094FF450A}"/>
    <hyperlink ref="K116" r:id="rId494" xr:uid="{47D5C922-4E3D-4B97-B8C6-5ED55617286F}"/>
    <hyperlink ref="J231" r:id="rId495" xr:uid="{2FF6918B-0679-49C0-8EE1-5DFE1FF1B659}"/>
    <hyperlink ref="J232:J234" r:id="rId496" display="Secretaría Tecnica" xr:uid="{BDD59BF3-CF5E-4D33-8BA3-9666132EFE20}"/>
    <hyperlink ref="J230" r:id="rId497" xr:uid="{F41C3B6A-FE17-4DC7-B26F-92C16FD082CC}"/>
    <hyperlink ref="J228:J230" r:id="rId498" display="Juegos Localizados" xr:uid="{B02FAB48-8C2A-4B98-B8EA-425EE90EF296}"/>
    <hyperlink ref="K231" r:id="rId499" xr:uid="{53600CC5-7DA1-4C8A-A945-74AC9E5D9325}"/>
    <hyperlink ref="K230" r:id="rId500" xr:uid="{AFDB4A4D-4783-48BB-846B-4DD1A9D18655}"/>
    <hyperlink ref="K228:K230" r:id="rId501" display="[P0389] CJU - Localizados Renovacion" xr:uid="{95BCA2B2-372C-4956-ABC1-28E87D836AE2}"/>
    <hyperlink ref="K232:K234" r:id="rId502" display="[P0390] CJU - STecnica Renovacion" xr:uid="{F5474365-91A4-44A2-BF8D-BA0B7460A266}"/>
    <hyperlink ref="K236" r:id="rId503" xr:uid="{176B58B0-4D92-48D5-898F-16B5DC87402D}"/>
    <hyperlink ref="K237" r:id="rId504" xr:uid="{CD5949CF-BE2A-439B-8106-B771B1A8C766}"/>
    <hyperlink ref="K235" r:id="rId505" xr:uid="{86694393-A6F3-4114-8462-CC47C1B4764D}"/>
    <hyperlink ref="J235" r:id="rId506" xr:uid="{73C0FF01-82D5-4D4C-8B80-24D3F7E0DB83}"/>
    <hyperlink ref="J236" r:id="rId507" xr:uid="{F74B291D-FC7A-4D4D-8CD8-43769A45D84F}"/>
    <hyperlink ref="J237" r:id="rId508" xr:uid="{709F4BAB-25DE-4282-A364-82B0A1D37049}"/>
    <hyperlink ref="L22" r:id="rId509" display="juan.bernal@blend360.com" xr:uid="{08990434-BEB2-4DE0-8861-29F00A960318}"/>
    <hyperlink ref="M238" r:id="rId510" display="alejandra.gomez@blend360.com" xr:uid="{7C847285-D037-4BFE-B856-3CC598995BCC}"/>
    <hyperlink ref="N238" r:id="rId511" xr:uid="{D91B4178-DAF2-4A3C-8AE7-7305378B3365}"/>
    <hyperlink ref="K238" r:id="rId512" xr:uid="{BF7F6F50-D776-41C5-AB85-B454AB196CDB}"/>
    <hyperlink ref="M239" r:id="rId513" display="alejandra.gomez@blend360.com" xr:uid="{9E39863A-3910-4D82-A4D6-C35D1567ECC4}"/>
    <hyperlink ref="M240" r:id="rId514" display="alejandra.gomez@blend360.com" xr:uid="{BCEC5199-686C-4C3D-AD6B-F087B8FF0FA1}"/>
    <hyperlink ref="M241" r:id="rId515" display="alejandra.gomez@blend360.com" xr:uid="{69C2668F-941B-4375-8F28-A26F4E97626F}"/>
    <hyperlink ref="M242" r:id="rId516" display="alejandra.gomez@blend360.com" xr:uid="{D2B1D04E-A59D-4E95-9E03-5E3DA480814F}"/>
    <hyperlink ref="K239" r:id="rId517" xr:uid="{302A2232-2D50-4D51-BC9C-E6EFFBC2CEA1}"/>
    <hyperlink ref="K240" r:id="rId518" xr:uid="{14479080-0312-4EAA-AAED-01BBE6D55892}"/>
    <hyperlink ref="K241" r:id="rId519" xr:uid="{73759BD0-E222-42B9-AC51-9862D8803C03}"/>
    <hyperlink ref="K242" r:id="rId520" xr:uid="{41BD095B-1523-423A-B75B-EDB883368940}"/>
    <hyperlink ref="N239:N242" r:id="rId521" display="Juan Zambrano" xr:uid="{2C61ED09-312D-4E22-9368-E77C6D6E4510}"/>
    <hyperlink ref="M243:M245" r:id="rId522" display="alejandra.gomez@blend360.com" xr:uid="{4E685895-4BB2-4221-B5B6-3346BFD7F06A}"/>
    <hyperlink ref="N243:N245" r:id="rId523" display="Juan Zambrano" xr:uid="{7466C492-F78C-4C80-86CC-FE28A766A7D2}"/>
    <hyperlink ref="M246:M249" r:id="rId524" display="alejandra.gomez@blend360.com" xr:uid="{AFA1B5A6-94D6-4735-8B5A-9C6ADEB785AC}"/>
    <hyperlink ref="J246" r:id="rId525" xr:uid="{0B19D8D7-5ACB-41E9-BD32-43B82D6A7201}"/>
    <hyperlink ref="J247:J249" r:id="rId526" display="Doc Contractual" xr:uid="{52E55D26-8A75-4AC2-9824-09615E679BC1}"/>
    <hyperlink ref="C255" r:id="rId527" xr:uid="{F71ED76E-2718-4E6C-949D-D19B5ABA975A}"/>
    <hyperlink ref="L62:L63" r:id="rId528" display="juan.bernal@blend360.com" xr:uid="{28B42C2E-420D-4441-B419-05B550415CDF}"/>
    <hyperlink ref="L19" r:id="rId529" display="juan.bernal@blend360.com" xr:uid="{F451E8CC-58B8-4732-87A8-C88824DAD21E}"/>
    <hyperlink ref="N9:N22" r:id="rId530" display="Carlos Sierra" xr:uid="{690C672C-8E9B-4C90-938C-9B779403F6CB}"/>
    <hyperlink ref="N24" r:id="rId531" xr:uid="{F7BA93BA-39ED-4CAD-A117-9CBB5AFCD6F5}"/>
    <hyperlink ref="N25:N27" r:id="rId532" display="Carlos Sierra" xr:uid="{44B1464A-08EC-4999-97B1-825E316495AB}"/>
    <hyperlink ref="N41" r:id="rId533" xr:uid="{6F95CE18-9A8A-4ADA-83BC-B3F977822866}"/>
    <hyperlink ref="N42:N44" r:id="rId534" display="Carlos Sierra" xr:uid="{735A6264-98B8-4843-896E-27D74A775A0E}"/>
    <hyperlink ref="N56" r:id="rId535" xr:uid="{32E08B2E-8410-4C3B-8637-DE0D8F9E49D9}"/>
    <hyperlink ref="N59:N60" r:id="rId536" display="Moises Rojas" xr:uid="{4C542C4D-33EF-40C7-A3F2-C86B4376E563}"/>
    <hyperlink ref="N62" r:id="rId537" xr:uid="{34F68F20-053F-464D-B59C-7A7863D3DA31}"/>
    <hyperlink ref="N63" r:id="rId538" xr:uid="{9404CBA5-3E55-4B9E-A499-EC525EC19BEF}"/>
    <hyperlink ref="N68" r:id="rId539" xr:uid="{60348EDB-5344-4F9D-854E-A27440CBFD2D}"/>
    <hyperlink ref="N79" r:id="rId540" xr:uid="{7B66F356-2EB4-4006-A0DA-E5B93A684223}"/>
    <hyperlink ref="N89" r:id="rId541" xr:uid="{634D5516-9368-4133-98A4-72AD1BD25F58}"/>
    <hyperlink ref="N83" r:id="rId542" xr:uid="{30DB332C-696C-469F-874D-7159122B3E15}"/>
    <hyperlink ref="N84" r:id="rId543" xr:uid="{88BF0939-C6C5-4FAE-90DD-E1153C47503A}"/>
    <hyperlink ref="N6" r:id="rId544" xr:uid="{3556A3B2-F64B-455E-93C9-020E29F9DDE4}"/>
    <hyperlink ref="N104" r:id="rId545" xr:uid="{CEDAEF60-03F9-458C-B133-EE6553041CC5}"/>
    <hyperlink ref="N106:N109" r:id="rId546" display="Carlos Sierra" xr:uid="{1E62A64F-9423-45DD-8DD7-7CE894C33FED}"/>
    <hyperlink ref="N135" r:id="rId547" xr:uid="{9898D958-FBED-4F84-866A-A4DBFA6EA080}"/>
    <hyperlink ref="N126:N132" r:id="rId548" display="Nicolas Revollo" xr:uid="{99BB2DB6-82A2-490C-997C-73A81E3958E0}"/>
    <hyperlink ref="N156" r:id="rId549" xr:uid="{EF4EE384-39C4-4325-A87B-50831AEE5160}"/>
    <hyperlink ref="N140:N143" r:id="rId550" display="Nicolas Revollo" xr:uid="{90DD484C-0A17-48C1-8200-ACDE45889897}"/>
    <hyperlink ref="N148" r:id="rId551" xr:uid="{AEABF479-BD01-40D9-A922-4B3C9927FAC1}"/>
    <hyperlink ref="N149" r:id="rId552" xr:uid="{0BF5588F-7A08-4E58-8B2A-050D89851A62}"/>
    <hyperlink ref="N272" r:id="rId553" xr:uid="{F21F847C-E288-4C72-8AA7-59199C89EE5F}"/>
    <hyperlink ref="N154:N156" r:id="rId554" display="Moises Rojas" xr:uid="{B2078EB0-E9C8-4BCC-A539-60543A1A65EA}"/>
    <hyperlink ref="N162" r:id="rId555" xr:uid="{9FFCB515-2EA5-4B4F-A9D6-70AEA191394B}"/>
    <hyperlink ref="N166:N167" r:id="rId556" display="Carlos Sierra" xr:uid="{3572AD93-EAC7-451A-84E2-984BDC334665}"/>
    <hyperlink ref="N179" r:id="rId557" xr:uid="{B26CE6B8-9664-47EE-AE07-404CFD5C0C16}"/>
    <hyperlink ref="N182" r:id="rId558" xr:uid="{4C7BCA83-B6EC-448F-A501-080C2D1AAEC2}"/>
    <hyperlink ref="N198" r:id="rId559" xr:uid="{DED13689-0BD6-4EE1-8C27-44C2DF259457}"/>
    <hyperlink ref="N190:N193" r:id="rId560" display="Nicolas Revollo" xr:uid="{011EBFA9-369E-45F4-8CF3-5C8838713000}"/>
    <hyperlink ref="N225" r:id="rId561" xr:uid="{ED259938-CB55-41C5-ACFF-9BEF3B0AE0A4}"/>
    <hyperlink ref="N222:N223" r:id="rId562" display="Moises Rojas" xr:uid="{F38346C9-0D93-4288-AC59-E4891923FDB4}"/>
    <hyperlink ref="K266" r:id="rId563" xr:uid="{6E0A4EAB-B865-4204-8D64-894E40902CE6}"/>
    <hyperlink ref="N266" r:id="rId564" xr:uid="{59B6079B-C108-4E88-B895-23B69C95208E}"/>
    <hyperlink ref="N199:N201" r:id="rId565" display="Nicolas Revollo" xr:uid="{F28914EA-DC8F-4C98-BC48-91368260CA18}"/>
    <hyperlink ref="N177:N179" r:id="rId566" display="N.A." xr:uid="{0FC8413D-C5A1-4A8B-BE33-F38915245857}"/>
    <hyperlink ref="K177:K179" r:id="rId567" display="Documentos esenciales" xr:uid="{ED8F3C0F-C91A-4ECE-90BA-9E26D080F411}"/>
    <hyperlink ref="K180" r:id="rId568" xr:uid="{D902C03E-F721-4B5A-904C-69174E3820E4}"/>
    <hyperlink ref="M81" r:id="rId569" display="alejandra.gomez@blend360.com" xr:uid="{3844C709-76C3-45EE-A374-34EF74A1968E}"/>
    <hyperlink ref="K81" r:id="rId570" xr:uid="{46144037-2066-4B6C-BBE9-E73EDC4C13CD}"/>
    <hyperlink ref="J112" r:id="rId571" xr:uid="{773EE76F-895A-4683-A7E9-2832B86C3E3D}"/>
    <hyperlink ref="K112" r:id="rId572" xr:uid="{BA94EBC4-9CF3-4FBB-A50E-DD5FD2580A94}"/>
    <hyperlink ref="M114" r:id="rId573" display="alejandra.gomez@blend360.com" xr:uid="{B6ACAC96-8259-41B7-8DC5-AE7845E30BD6}"/>
    <hyperlink ref="M113" r:id="rId574" display="alejandra.gomez@blend360.com" xr:uid="{A5D64CAE-937E-4F10-BA67-F6E65D067DC1}"/>
    <hyperlink ref="M112" r:id="rId575" display="alejandra.gomez@blend360.com" xr:uid="{0D8D753C-82F8-47C0-ADD0-4391BFF85F19}"/>
    <hyperlink ref="K113" r:id="rId576" xr:uid="{8E9BA218-6894-4022-BB90-E3F9C9ACC09E}"/>
    <hyperlink ref="K114" r:id="rId577" xr:uid="{8C55568D-6F5E-4F24-8874-CC7811803B43}"/>
    <hyperlink ref="N273:N275" r:id="rId578" display="Carlos Sierra" xr:uid="{9182B49C-C71B-4972-9198-4EB0A7E8D785}"/>
    <hyperlink ref="M96" r:id="rId579" display="marcela.sanchez@blend360.com" xr:uid="{0C9149E8-5A4D-4532-8F85-E2809E6E8E1B}"/>
    <hyperlink ref="N96" r:id="rId580" xr:uid="{0DCDFD96-9EA3-4185-9201-752EECAD7CAA}"/>
    <hyperlink ref="J96" r:id="rId581" display="NUVU - Proyectos - [P0347] - PON - IAPOL-G - IA Generativa - All Documents" xr:uid="{90E3FB06-00FD-4638-AD39-8DFB29DC0DE5}"/>
    <hyperlink ref="L96" r:id="rId582" display="carolina.aleman@blend360.com" xr:uid="{09E7C9AB-E97C-4272-980A-E0DB9D7F1DDA}"/>
    <hyperlink ref="K96" r:id="rId583" display="5. Documentos contractuales" xr:uid="{0F9A9774-4F3D-4868-B1CA-38D67682A31D}"/>
    <hyperlink ref="N188" r:id="rId584" xr:uid="{0A4E6785-BD34-4696-AF09-D353F45F186A}"/>
    <hyperlink ref="K188" r:id="rId585" display="Documentos esenciales" xr:uid="{FB195AD5-3BF2-4B8C-8347-1696C3A8D6FE}"/>
    <hyperlink ref="N190" r:id="rId586" xr:uid="{ADD023A2-60EA-4FD6-893C-7C4250E65BBB}"/>
    <hyperlink ref="K190" r:id="rId587" display="Documentos esenciales" xr:uid="{B2658D86-3D28-40F2-8FBA-26A46A6BAD69}"/>
    <hyperlink ref="N189" r:id="rId588" xr:uid="{483DDDDD-DEC2-4A91-9F7B-38B0FAB1D88F}"/>
    <hyperlink ref="K189" r:id="rId589" display="Documentos esenciales" xr:uid="{354C1F70-5EFB-4BE2-BE58-3F009156273D}"/>
    <hyperlink ref="K184" r:id="rId590" xr:uid="{5E6738F6-8E65-467B-A884-139BF8018A81}"/>
    <hyperlink ref="K186" r:id="rId591" xr:uid="{E1B30258-CBD1-47C0-A2C8-7739D4ECE31B}"/>
    <hyperlink ref="U7" r:id="rId592" xr:uid="{6DFAC3B5-47E3-4BA9-8A37-92553F5A8901}"/>
    <hyperlink ref="U8" r:id="rId593" xr:uid="{8EB067F1-1022-4CB2-9C2A-481CD5A5689F}"/>
    <hyperlink ref="U9" r:id="rId594" xr:uid="{94028070-94FD-498D-89D9-533292A31FDE}"/>
    <hyperlink ref="U10" r:id="rId595" xr:uid="{622200EF-9321-4B2C-BD81-AF6EE60000D1}"/>
    <hyperlink ref="U12" r:id="rId596" xr:uid="{4E9D16B2-28A6-496D-B1A1-D5282B472DE8}"/>
    <hyperlink ref="U14" r:id="rId597" xr:uid="{04D1257E-7500-4292-A34D-50A72B96C037}"/>
    <hyperlink ref="U15" r:id="rId598" xr:uid="{1EE1FEF9-3B09-48D9-B427-91CD9FAC11A1}"/>
    <hyperlink ref="U16" r:id="rId599" xr:uid="{2F896B4D-6D9E-4453-BDB8-BB36F5D4444A}"/>
    <hyperlink ref="U17" r:id="rId600" xr:uid="{03772847-5AD6-49E3-92E8-A709B2B2B0B2}"/>
    <hyperlink ref="U18" r:id="rId601" xr:uid="{9450A5DF-AA4D-4A0C-9D5A-EE1FEC8A19AA}"/>
    <hyperlink ref="U23" r:id="rId602" xr:uid="{D953F4C4-4DEA-419C-AE53-D3FF17DC9FCE}"/>
    <hyperlink ref="U24" r:id="rId603" xr:uid="{02CDB7B3-E20F-43EE-87C2-0860837E7DB8}"/>
    <hyperlink ref="U26" r:id="rId604" xr:uid="{BBEA1D0A-31B1-4605-86D9-641A73862983}"/>
    <hyperlink ref="U36" r:id="rId605" xr:uid="{B526E91E-0EF8-4636-A9DF-2BF4F073FD13}"/>
    <hyperlink ref="U37" r:id="rId606" xr:uid="{82254592-8AFE-4BD5-AA6C-E15215FDBCC9}"/>
    <hyperlink ref="U38" r:id="rId607" xr:uid="{4DBB2507-FA89-4EAB-B4E5-6558792CF244}"/>
    <hyperlink ref="U40" r:id="rId608" xr:uid="{E34BCD1A-D05B-4D9F-A0B5-667A730BBC74}"/>
    <hyperlink ref="U41" r:id="rId609" xr:uid="{FB281202-B904-4884-8EA7-301DD866B9D8}"/>
    <hyperlink ref="U42" r:id="rId610" xr:uid="{0E5442FC-C4E3-48DE-949F-DE67A89C9467}"/>
    <hyperlink ref="U43" r:id="rId611" xr:uid="{CCD4075D-297A-43A9-8915-FEA3DB15E4EF}"/>
    <hyperlink ref="U44" r:id="rId612" xr:uid="{EBB8D860-8E67-4D40-8487-B9BB1F5BC102}"/>
    <hyperlink ref="U45" r:id="rId613" xr:uid="{42477A20-5B79-416D-BED1-E7EE2A3FAB92}"/>
    <hyperlink ref="U46" r:id="rId614" xr:uid="{CDF70BAC-302D-4E67-A1AD-F225F2F9812B}"/>
    <hyperlink ref="U47" r:id="rId615" xr:uid="{F2A11E75-80F2-4B49-BDF5-E805D4AE32B8}"/>
    <hyperlink ref="U48" r:id="rId616" xr:uid="{BF719011-E3C0-4731-B6F7-6C3E860D60D9}"/>
    <hyperlink ref="U53" r:id="rId617" xr:uid="{C0052359-A0B1-4AF9-B085-875A745F211E}"/>
    <hyperlink ref="U54" r:id="rId618" xr:uid="{7F4163A0-AD4B-4803-81C3-660746D82686}"/>
    <hyperlink ref="U55" r:id="rId619" xr:uid="{1458C848-22CF-4C16-BF5C-3EC14A0CA11D}"/>
    <hyperlink ref="U56" r:id="rId620" xr:uid="{7D4AEFD8-6F1A-43E7-A8A2-F2F3A404BDB7}"/>
    <hyperlink ref="U57" r:id="rId621" xr:uid="{FEFB39DD-5DF7-44B8-809C-727D1B4DC5D7}"/>
    <hyperlink ref="U58" r:id="rId622" xr:uid="{7830734D-9991-4AA3-8802-18519732345F}"/>
    <hyperlink ref="U59" r:id="rId623" xr:uid="{5EB7EBC1-DEC5-43CF-92E6-C321C6A5828A}"/>
    <hyperlink ref="U60" r:id="rId624" xr:uid="{A0215609-69E0-483A-95A8-52D3212E221C}"/>
    <hyperlink ref="U61" r:id="rId625" xr:uid="{1D3F4FBD-700D-4CE2-9ABB-859342616F8B}"/>
    <hyperlink ref="U62" r:id="rId626" xr:uid="{D99600DB-7483-43FA-B7AC-CDE088D95E9D}"/>
    <hyperlink ref="U63" r:id="rId627" xr:uid="{9AD11678-65F5-4354-9231-FF8743A41C2C}"/>
    <hyperlink ref="U68" r:id="rId628" xr:uid="{EB6DC153-8C5F-4424-BEBA-9FE898861109}"/>
    <hyperlink ref="U79" r:id="rId629" xr:uid="{45E53DE9-5233-4C0D-9D95-B1EB45E2D5EF}"/>
    <hyperlink ref="U91" r:id="rId630" xr:uid="{D497824E-008B-4F35-A5EA-D41F6A3EE35A}"/>
    <hyperlink ref="U100" r:id="rId631" xr:uid="{4D971C5C-7486-49F9-B8DF-92254B94A599}"/>
    <hyperlink ref="U101" r:id="rId632" xr:uid="{09B2F526-E276-4267-80C8-4DD59B69BE64}"/>
    <hyperlink ref="U102" r:id="rId633" xr:uid="{0E8C8DD9-6399-413C-837F-A9F61AE874D3}"/>
    <hyperlink ref="U103" r:id="rId634" xr:uid="{70C5F5B2-AF11-48D5-9917-CB2B40C4505F}"/>
    <hyperlink ref="U112" r:id="rId635" xr:uid="{2D3DB5B4-0E99-41F5-A73D-D05CFBCE82BF}"/>
    <hyperlink ref="U113" r:id="rId636" xr:uid="{904EBA2C-C5E3-4C9C-9B50-60046B08D874}"/>
    <hyperlink ref="U114" r:id="rId637" xr:uid="{85289D96-1295-4428-B22F-4C162DAE828D}"/>
    <hyperlink ref="U124" r:id="rId638" xr:uid="{17860A76-4DF2-4E28-807C-B74FA9C3CE20}"/>
    <hyperlink ref="U125" r:id="rId639" xr:uid="{ABB81107-0758-43F8-9CCD-F8377DD4C74F}"/>
    <hyperlink ref="U144" r:id="rId640" xr:uid="{A163EF37-8F37-4E49-A06A-C640453F8376}"/>
    <hyperlink ref="U145" r:id="rId641" xr:uid="{E4E2F383-00E8-49E2-8AC0-FBE3314985E7}"/>
    <hyperlink ref="U146" r:id="rId642" xr:uid="{9C4E8E84-C4A6-432A-A0D0-7B10DBD15A3A}"/>
    <hyperlink ref="U147" r:id="rId643" xr:uid="{DFD8D2EB-7649-4890-8433-A4DF5D9EF278}"/>
    <hyperlink ref="U148" r:id="rId644" xr:uid="{ABF5BECE-8FFF-4B6A-88F2-D7B999293488}"/>
    <hyperlink ref="U149" r:id="rId645" xr:uid="{A6B203ED-C3AD-4B8D-9E58-1C99241CE5BD}"/>
    <hyperlink ref="U161" r:id="rId646" xr:uid="{86B6DF75-03D2-4C83-9D15-D61154C16740}"/>
    <hyperlink ref="U162" r:id="rId647" xr:uid="{406E7913-ECB7-4539-8312-73B5BDD0A0FC}"/>
    <hyperlink ref="U164" r:id="rId648" xr:uid="{88BC362D-2AAD-4D03-B393-DF3BCB326E6D}"/>
    <hyperlink ref="U165" r:id="rId649" xr:uid="{04D9C845-114D-4F34-A3AF-0FCAF74E02B2}"/>
    <hyperlink ref="U166" r:id="rId650" xr:uid="{B293E2A3-5D65-4446-8607-D99CA3E79A39}"/>
    <hyperlink ref="U177" r:id="rId651" xr:uid="{E737DBB5-4F74-4AA5-A02D-1192D4676544}"/>
    <hyperlink ref="U182" r:id="rId652" xr:uid="{6332EF2F-AC28-43BB-8AC6-F990FF19D685}"/>
  </hyperlinks>
  <pageMargins left="0" right="0" top="0" bottom="0" header="0" footer="0"/>
  <legacyDrawing r:id="rId653"/>
  <tableParts count="1">
    <tablePart r:id="rId654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A5C9F971-6DFF-4F56-921C-DA140903650F}">
          <x14:formula1>
            <xm:f>Parameter!$E$2:$E$11</xm:f>
          </x14:formula1>
          <xm:sqref>Q160:Q161 Q172:Q181 Q197:R197 Q198:Q201 Q2:Q157 R2:R7 Q238:Q242 Q272 Q276:Q279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59C8F-F636-4DF4-89EE-5C9935B9D5D7}">
  <dimension ref="A1:B16"/>
  <sheetViews>
    <sheetView workbookViewId="0">
      <selection activeCell="B2" sqref="B2"/>
    </sheetView>
  </sheetViews>
  <sheetFormatPr defaultColWidth="8.85546875" defaultRowHeight="13.15"/>
  <cols>
    <col min="1" max="1" width="22" bestFit="1" customWidth="1"/>
    <col min="2" max="2" width="25.42578125" customWidth="1"/>
    <col min="3" max="3" width="25.42578125" bestFit="1" customWidth="1"/>
  </cols>
  <sheetData>
    <row r="1" spans="1:2">
      <c r="A1" s="41" t="s">
        <v>8</v>
      </c>
      <c r="B1" t="s">
        <v>1588</v>
      </c>
    </row>
    <row r="2" spans="1:2">
      <c r="A2" s="41" t="s">
        <v>6</v>
      </c>
      <c r="B2" t="s">
        <v>1588</v>
      </c>
    </row>
    <row r="4" spans="1:2">
      <c r="A4" s="41" t="s">
        <v>11</v>
      </c>
      <c r="B4" t="s">
        <v>1589</v>
      </c>
    </row>
    <row r="5" spans="1:2">
      <c r="A5" t="s">
        <v>315</v>
      </c>
      <c r="B5">
        <v>16</v>
      </c>
    </row>
    <row r="6" spans="1:2">
      <c r="A6" t="s">
        <v>124</v>
      </c>
      <c r="B6">
        <v>33</v>
      </c>
    </row>
    <row r="7" spans="1:2">
      <c r="A7" t="s">
        <v>156</v>
      </c>
      <c r="B7">
        <v>11</v>
      </c>
    </row>
    <row r="8" spans="1:2">
      <c r="A8" t="s">
        <v>282</v>
      </c>
      <c r="B8">
        <v>19</v>
      </c>
    </row>
    <row r="9" spans="1:2">
      <c r="A9" t="s">
        <v>519</v>
      </c>
      <c r="B9">
        <v>1</v>
      </c>
    </row>
    <row r="10" spans="1:2">
      <c r="A10" t="s">
        <v>705</v>
      </c>
      <c r="B10">
        <v>4</v>
      </c>
    </row>
    <row r="11" spans="1:2">
      <c r="A11" t="s">
        <v>134</v>
      </c>
      <c r="B11">
        <v>62</v>
      </c>
    </row>
    <row r="12" spans="1:2">
      <c r="A12" t="s">
        <v>73</v>
      </c>
      <c r="B12">
        <v>41</v>
      </c>
    </row>
    <row r="13" spans="1:2">
      <c r="A13" t="s">
        <v>358</v>
      </c>
      <c r="B13">
        <v>15</v>
      </c>
    </row>
    <row r="14" spans="1:2">
      <c r="A14" t="s">
        <v>34</v>
      </c>
      <c r="B14">
        <v>10</v>
      </c>
    </row>
    <row r="15" spans="1:2">
      <c r="A15" t="s">
        <v>53</v>
      </c>
      <c r="B15">
        <v>61</v>
      </c>
    </row>
    <row r="16" spans="1:2">
      <c r="A16" t="s">
        <v>1590</v>
      </c>
      <c r="B16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4CEA0-56CF-41F1-B414-38F3D42572C3}">
  <sheetPr codeName="Sheet7"/>
  <dimension ref="A1:C38"/>
  <sheetViews>
    <sheetView workbookViewId="0">
      <selection activeCell="B6" sqref="B6"/>
    </sheetView>
  </sheetViews>
  <sheetFormatPr defaultColWidth="8.85546875" defaultRowHeight="13.15"/>
  <cols>
    <col min="1" max="1" width="12.7109375" bestFit="1" customWidth="1"/>
    <col min="2" max="2" width="68.28515625" customWidth="1"/>
    <col min="3" max="3" width="22" bestFit="1" customWidth="1"/>
  </cols>
  <sheetData>
    <row r="1" spans="1:3">
      <c r="A1" s="41" t="s">
        <v>8</v>
      </c>
      <c r="B1" t="s">
        <v>33</v>
      </c>
    </row>
    <row r="2" spans="1:3">
      <c r="A2" s="41" t="s">
        <v>6</v>
      </c>
      <c r="B2" t="s">
        <v>81</v>
      </c>
    </row>
    <row r="4" spans="1:3">
      <c r="A4" s="41" t="s">
        <v>1</v>
      </c>
      <c r="B4" s="41" t="s">
        <v>2</v>
      </c>
      <c r="C4" s="41" t="s">
        <v>11</v>
      </c>
    </row>
    <row r="5" spans="1:3">
      <c r="A5" t="s">
        <v>162</v>
      </c>
      <c r="B5" t="s">
        <v>1591</v>
      </c>
      <c r="C5" t="s">
        <v>134</v>
      </c>
    </row>
    <row r="6" spans="1:3">
      <c r="A6" t="s">
        <v>215</v>
      </c>
      <c r="B6" t="s">
        <v>1592</v>
      </c>
      <c r="C6" t="s">
        <v>53</v>
      </c>
    </row>
    <row r="7" spans="1:3">
      <c r="A7" t="s">
        <v>322</v>
      </c>
      <c r="B7" t="s">
        <v>1593</v>
      </c>
      <c r="C7" t="s">
        <v>124</v>
      </c>
    </row>
    <row r="8" spans="1:3">
      <c r="A8" t="s">
        <v>338</v>
      </c>
      <c r="B8" t="s">
        <v>1594</v>
      </c>
      <c r="C8" t="s">
        <v>282</v>
      </c>
    </row>
    <row r="9" spans="1:3">
      <c r="A9" t="s">
        <v>364</v>
      </c>
      <c r="B9" t="s">
        <v>1595</v>
      </c>
      <c r="C9" t="s">
        <v>53</v>
      </c>
    </row>
    <row r="10" spans="1:3">
      <c r="A10" t="s">
        <v>379</v>
      </c>
      <c r="B10" t="s">
        <v>1596</v>
      </c>
      <c r="C10" t="s">
        <v>156</v>
      </c>
    </row>
    <row r="11" spans="1:3">
      <c r="A11" t="s">
        <v>417</v>
      </c>
      <c r="B11" t="s">
        <v>1597</v>
      </c>
      <c r="C11" t="s">
        <v>315</v>
      </c>
    </row>
    <row r="12" spans="1:3">
      <c r="A12" t="s">
        <v>454</v>
      </c>
      <c r="B12" t="s">
        <v>1598</v>
      </c>
      <c r="C12" t="s">
        <v>315</v>
      </c>
    </row>
    <row r="13" spans="1:3">
      <c r="A13" t="s">
        <v>505</v>
      </c>
      <c r="B13" t="s">
        <v>1599</v>
      </c>
      <c r="C13" t="s">
        <v>134</v>
      </c>
    </row>
    <row r="14" spans="1:3">
      <c r="A14" t="s">
        <v>528</v>
      </c>
      <c r="B14" t="s">
        <v>1600</v>
      </c>
      <c r="C14" t="s">
        <v>53</v>
      </c>
    </row>
    <row r="15" spans="1:3">
      <c r="A15" t="s">
        <v>549</v>
      </c>
      <c r="B15" t="s">
        <v>1601</v>
      </c>
      <c r="C15" t="s">
        <v>53</v>
      </c>
    </row>
    <row r="16" spans="1:3">
      <c r="A16" t="s">
        <v>598</v>
      </c>
      <c r="B16" t="s">
        <v>1602</v>
      </c>
      <c r="C16" t="s">
        <v>124</v>
      </c>
    </row>
    <row r="17" spans="1:3">
      <c r="A17" t="s">
        <v>621</v>
      </c>
      <c r="B17" t="s">
        <v>622</v>
      </c>
      <c r="C17" t="s">
        <v>34</v>
      </c>
    </row>
    <row r="18" spans="1:3">
      <c r="A18" t="s">
        <v>630</v>
      </c>
      <c r="B18" t="s">
        <v>631</v>
      </c>
      <c r="C18" t="s">
        <v>53</v>
      </c>
    </row>
    <row r="19" spans="1:3">
      <c r="A19" t="s">
        <v>652</v>
      </c>
      <c r="B19" t="s">
        <v>1603</v>
      </c>
      <c r="C19" t="s">
        <v>73</v>
      </c>
    </row>
    <row r="20" spans="1:3">
      <c r="A20" t="s">
        <v>659</v>
      </c>
      <c r="B20" t="s">
        <v>660</v>
      </c>
      <c r="C20" t="s">
        <v>358</v>
      </c>
    </row>
    <row r="21" spans="1:3">
      <c r="A21" t="s">
        <v>675</v>
      </c>
      <c r="B21" t="s">
        <v>676</v>
      </c>
      <c r="C21" t="s">
        <v>124</v>
      </c>
    </row>
    <row r="22" spans="1:3">
      <c r="A22" t="s">
        <v>701</v>
      </c>
      <c r="B22" t="s">
        <v>702</v>
      </c>
      <c r="C22" t="s">
        <v>705</v>
      </c>
    </row>
    <row r="23" spans="1:3">
      <c r="A23" t="s">
        <v>716</v>
      </c>
      <c r="B23" t="s">
        <v>717</v>
      </c>
      <c r="C23" t="s">
        <v>282</v>
      </c>
    </row>
    <row r="24" spans="1:3">
      <c r="A24" t="s">
        <v>731</v>
      </c>
      <c r="B24" t="s">
        <v>1604</v>
      </c>
      <c r="C24" t="s">
        <v>73</v>
      </c>
    </row>
    <row r="25" spans="1:3">
      <c r="A25" t="s">
        <v>772</v>
      </c>
      <c r="B25" t="s">
        <v>1605</v>
      </c>
      <c r="C25" t="s">
        <v>315</v>
      </c>
    </row>
    <row r="26" spans="1:3">
      <c r="A26" t="s">
        <v>783</v>
      </c>
      <c r="B26" t="s">
        <v>793</v>
      </c>
      <c r="C26" t="s">
        <v>53</v>
      </c>
    </row>
    <row r="27" spans="1:3">
      <c r="A27" t="s">
        <v>795</v>
      </c>
      <c r="B27" t="s">
        <v>803</v>
      </c>
      <c r="C27" t="s">
        <v>124</v>
      </c>
    </row>
    <row r="28" spans="1:3">
      <c r="A28" t="s">
        <v>808</v>
      </c>
      <c r="B28" t="s">
        <v>817</v>
      </c>
      <c r="C28" t="s">
        <v>134</v>
      </c>
    </row>
    <row r="29" spans="1:3">
      <c r="A29" t="s">
        <v>823</v>
      </c>
      <c r="B29" t="s">
        <v>832</v>
      </c>
      <c r="C29" t="s">
        <v>134</v>
      </c>
    </row>
    <row r="30" spans="1:3">
      <c r="A30" t="s">
        <v>838</v>
      </c>
      <c r="B30" t="s">
        <v>839</v>
      </c>
      <c r="C30" t="s">
        <v>315</v>
      </c>
    </row>
    <row r="31" spans="1:3">
      <c r="A31" t="s">
        <v>855</v>
      </c>
      <c r="B31" t="s">
        <v>856</v>
      </c>
      <c r="C31" t="s">
        <v>53</v>
      </c>
    </row>
    <row r="32" spans="1:3">
      <c r="A32" t="s">
        <v>866</v>
      </c>
      <c r="B32" t="s">
        <v>867</v>
      </c>
      <c r="C32" t="s">
        <v>358</v>
      </c>
    </row>
    <row r="33" spans="1:3">
      <c r="A33" t="s">
        <v>878</v>
      </c>
      <c r="B33" t="s">
        <v>879</v>
      </c>
      <c r="C33" t="s">
        <v>156</v>
      </c>
    </row>
    <row r="34" spans="1:3">
      <c r="A34" t="s">
        <v>894</v>
      </c>
      <c r="B34" t="s">
        <v>895</v>
      </c>
      <c r="C34" t="s">
        <v>358</v>
      </c>
    </row>
    <row r="35" spans="1:3">
      <c r="A35" t="s">
        <v>903</v>
      </c>
      <c r="B35" t="s">
        <v>904</v>
      </c>
      <c r="C35" t="s">
        <v>358</v>
      </c>
    </row>
    <row r="36" spans="1:3">
      <c r="A36" t="s">
        <v>933</v>
      </c>
      <c r="B36" t="s">
        <v>934</v>
      </c>
      <c r="C36" t="s">
        <v>53</v>
      </c>
    </row>
    <row r="37" spans="1:3">
      <c r="A37" t="s">
        <v>943</v>
      </c>
      <c r="B37" t="s">
        <v>950</v>
      </c>
      <c r="C37" t="s">
        <v>156</v>
      </c>
    </row>
    <row r="38" spans="1:3">
      <c r="A38" t="s">
        <v>958</v>
      </c>
      <c r="B38" t="s">
        <v>959</v>
      </c>
      <c r="C38" t="s">
        <v>134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7321ADF990554C99469D38E0963953" ma:contentTypeVersion="13" ma:contentTypeDescription="Create a new document." ma:contentTypeScope="" ma:versionID="e13f975c8654c00ec51ab02f606628d6">
  <xsd:schema xmlns:xsd="http://www.w3.org/2001/XMLSchema" xmlns:xs="http://www.w3.org/2001/XMLSchema" xmlns:p="http://schemas.microsoft.com/office/2006/metadata/properties" xmlns:ns2="b51ed564-f2f8-468f-a388-e07184f1c0a6" xmlns:ns3="275c1206-a37b-4f22-88c9-a3db5fceade2" targetNamespace="http://schemas.microsoft.com/office/2006/metadata/properties" ma:root="true" ma:fieldsID="120db81dc900f298017cba996c170e51" ns2:_="" ns3:_="">
    <xsd:import namespace="b51ed564-f2f8-468f-a388-e07184f1c0a6"/>
    <xsd:import namespace="275c1206-a37b-4f22-88c9-a3db5fceade2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1ed564-f2f8-468f-a388-e07184f1c0a6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20" nillable="true" ma:displayName="Taxonomy Catch All Column" ma:hidden="true" ma:list="{4893e20d-b409-430b-a6d5-032c061450bd}" ma:internalName="TaxCatchAll" ma:showField="CatchAllData" ma:web="b51ed564-f2f8-468f-a388-e07184f1c0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5c1206-a37b-4f22-88c9-a3db5fcead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12b4ba89-8ace-419e-814f-6a2e402f6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51ed564-f2f8-468f-a388-e07184f1c0a6" xsi:nil="true"/>
    <lcf76f155ced4ddcb4097134ff3c332f xmlns="275c1206-a37b-4f22-88c9-a3db5fceade2">
      <Terms xmlns="http://schemas.microsoft.com/office/infopath/2007/PartnerControls"/>
    </lcf76f155ced4ddcb4097134ff3c332f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7CC578-5E5C-466C-8A7C-4A1682F4B8EA}"/>
</file>

<file path=customXml/itemProps2.xml><?xml version="1.0" encoding="utf-8"?>
<ds:datastoreItem xmlns:ds="http://schemas.openxmlformats.org/officeDocument/2006/customXml" ds:itemID="{05FF3AEF-FDF6-4454-849A-09710BB1A5C6}"/>
</file>

<file path=customXml/itemProps3.xml><?xml version="1.0" encoding="utf-8"?>
<ds:datastoreItem xmlns:ds="http://schemas.openxmlformats.org/officeDocument/2006/customXml" ds:itemID="{2EC255C3-CAB8-4E17-A5BB-92D2BCF4CCB6}"/>
</file>

<file path=customXml/itemProps4.xml><?xml version="1.0" encoding="utf-8"?>
<ds:datastoreItem xmlns:ds="http://schemas.openxmlformats.org/officeDocument/2006/customXml" ds:itemID="{81BD8B6E-0EC0-45A7-BFD0-9610BDA767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2025-03-25T21:13:46Z</dcterms:created>
  <dcterms:modified xsi:type="dcterms:W3CDTF">2026-04-15T20:48:59Z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0x010100287321ADF990554C99469D38E0963953</vt:lpwstr>
  </property>
  <property fmtid="{D5CDD505-2E9C-101B-9397-08002B2CF9AE}" pid="3" name="MediaServiceImageTags">
    <vt:lpwstr/>
  </property>
</Properties>
</file>